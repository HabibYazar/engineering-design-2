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karabilim.sharepoint.com/sites/YnergeveYnetmelikler/Shared Documents/General/_Derslikler ve Ders Programı Tabloları/"/>
    </mc:Choice>
  </mc:AlternateContent>
  <xr:revisionPtr revIDLastSave="0" documentId="8_{8CF56ACE-9C54-4434-9859-4D7D63AC692F}" xr6:coauthVersionLast="47" xr6:coauthVersionMax="47" xr10:uidLastSave="{00000000-0000-0000-0000-000000000000}"/>
  <bookViews>
    <workbookView xWindow="1220" yWindow="660" windowWidth="28180" windowHeight="16820" tabRatio="832" firstSheet="1" activeTab="1" xr2:uid="{7E05664C-F542-5A43-8E26-2743A5A56217}"/>
  </bookViews>
  <sheets>
    <sheet name="KAT_PLANI" sheetId="50" r:id="rId1"/>
    <sheet name="DERS_PLANI" sheetId="2" r:id="rId2"/>
    <sheet name="LECTURE HALL 5" sheetId="62" r:id="rId3"/>
    <sheet name="LECTURE HALL 6" sheetId="63" r:id="rId4"/>
    <sheet name="LECTURE HALL 7" sheetId="64" r:id="rId5"/>
    <sheet name="C 092" sheetId="83" r:id="rId6"/>
    <sheet name="C 091" sheetId="82" r:id="rId7"/>
    <sheet name="C 090" sheetId="81" r:id="rId8"/>
    <sheet name="C 089" sheetId="78" r:id="rId9"/>
    <sheet name="C 088" sheetId="79" r:id="rId10"/>
    <sheet name="C 087" sheetId="80" r:id="rId11"/>
    <sheet name="C 086" sheetId="76" r:id="rId12"/>
    <sheet name="C 085" sheetId="77" r:id="rId13"/>
    <sheet name="C 084" sheetId="75" r:id="rId14"/>
    <sheet name="C 078" sheetId="74" r:id="rId15"/>
    <sheet name="C 077" sheetId="71" r:id="rId16"/>
    <sheet name="C 076" sheetId="72" r:id="rId17"/>
    <sheet name="C 075" sheetId="73" r:id="rId18"/>
    <sheet name="C 074" sheetId="70" r:id="rId19"/>
    <sheet name="C 073" sheetId="69" r:id="rId20"/>
    <sheet name="C 072" sheetId="68" r:id="rId21"/>
    <sheet name="C 071" sheetId="67" r:id="rId22"/>
    <sheet name="C 070" sheetId="66" r:id="rId23"/>
    <sheet name="C 063" sheetId="65" r:id="rId24"/>
    <sheet name="C 060" sheetId="85" r:id="rId25"/>
    <sheet name="C 056" sheetId="49" r:id="rId26"/>
    <sheet name="C 055" sheetId="48" r:id="rId27"/>
    <sheet name="C 054" sheetId="47" r:id="rId28"/>
    <sheet name="L 037" sheetId="45" r:id="rId29"/>
    <sheet name="C 053" sheetId="46" r:id="rId30"/>
    <sheet name="C 036" sheetId="44" r:id="rId31"/>
    <sheet name="C 035" sheetId="43" r:id="rId32"/>
    <sheet name="C 034" sheetId="42" r:id="rId33"/>
    <sheet name="C 027" sheetId="41" r:id="rId34"/>
    <sheet name="C 026" sheetId="40" r:id="rId35"/>
    <sheet name="C 025" sheetId="39" r:id="rId36"/>
    <sheet name="C 018" sheetId="38" r:id="rId37"/>
    <sheet name="C 017" sheetId="37" r:id="rId38"/>
    <sheet name="C 013" sheetId="36" r:id="rId39"/>
    <sheet name="C 012" sheetId="35" r:id="rId40"/>
    <sheet name="C 007" sheetId="34" r:id="rId41"/>
    <sheet name="L 008" sheetId="93" r:id="rId42"/>
    <sheet name="C 006" sheetId="33" r:id="rId43"/>
    <sheet name="C 005" sheetId="32" r:id="rId44"/>
    <sheet name="C 003" sheetId="92" r:id="rId45"/>
    <sheet name="L 143" sheetId="30" r:id="rId46"/>
    <sheet name="L 140" sheetId="29" r:id="rId47"/>
    <sheet name="L 141" sheetId="28" r:id="rId48"/>
    <sheet name="L 142" sheetId="27" r:id="rId49"/>
    <sheet name="L 139" sheetId="26" r:id="rId50"/>
    <sheet name="C 121" sheetId="22" r:id="rId51"/>
    <sheet name="C 114" sheetId="21" r:id="rId52"/>
    <sheet name="C 113" sheetId="20" r:id="rId53"/>
    <sheet name="C 109" sheetId="19" r:id="rId54"/>
    <sheet name="C 104" sheetId="17" r:id="rId55"/>
    <sheet name="C 103" sheetId="91" r:id="rId56"/>
    <sheet name="C 102" sheetId="90" r:id="rId57"/>
    <sheet name="C 101" sheetId="16" r:id="rId58"/>
    <sheet name="Amfi-1" sheetId="15" r:id="rId59"/>
    <sheet name="Amfi-2" sheetId="14" r:id="rId60"/>
    <sheet name="Amfi-3" sheetId="13" r:id="rId61"/>
    <sheet name="Amfi-4" sheetId="12" r:id="rId62"/>
    <sheet name="C 233" sheetId="11" r:id="rId63"/>
    <sheet name="C 232" sheetId="10" r:id="rId64"/>
    <sheet name="C 231" sheetId="9" r:id="rId65"/>
    <sheet name="C 230" sheetId="8" r:id="rId66"/>
    <sheet name="C 229" sheetId="7" r:id="rId67"/>
    <sheet name="C 222" sheetId="89" r:id="rId68"/>
    <sheet name="C 221" sheetId="88" r:id="rId69"/>
    <sheet name="C 220" sheetId="84" r:id="rId70"/>
    <sheet name="C 215" sheetId="6" r:id="rId71"/>
    <sheet name="C 214" sheetId="87" r:id="rId72"/>
    <sheet name="C 213" sheetId="86" r:id="rId73"/>
    <sheet name="Eski_KAT_PLANI" sheetId="3" state="hidden" r:id="rId74"/>
    <sheet name="Sayfa1" sheetId="61" state="hidden" r:id="rId75"/>
    <sheet name="C 208" sheetId="4" r:id="rId76"/>
  </sheets>
  <definedNames>
    <definedName name="Derslik" localSheetId="1">#REF!</definedName>
    <definedName name="Derslik">#REF!</definedName>
    <definedName name="Islem" localSheetId="1">#REF!</definedName>
    <definedName name="Islem">#REF!</definedName>
    <definedName name="Kadrolu" localSheetId="1">#REF!</definedName>
    <definedName name="Kadrolu">#REF!</definedName>
    <definedName name="statü" localSheetId="1">#REF!</definedName>
    <definedName name="statü">#REF!</definedName>
    <definedName name="Unvan" localSheetId="1">#REF!</definedName>
    <definedName name="Unvan">#REF!</definedName>
    <definedName name="Unvan2" localSheetId="1">#REF!</definedName>
    <definedName name="Unvan2">#REF!</definedName>
    <definedName name="yarıyıl" localSheetId="1">#REF!</definedName>
    <definedName name="yarıyıl">#REF!</definedName>
    <definedName name="_xlnm.Print_Area" localSheetId="1">DERS_PLANI!$A$1:$W$157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2" l="1"/>
  <c r="C4" i="62"/>
  <c r="D4" i="62"/>
  <c r="E4" i="62"/>
  <c r="F4" i="62"/>
  <c r="B5" i="62"/>
  <c r="C5" i="62"/>
  <c r="D5" i="62"/>
  <c r="E5" i="62"/>
  <c r="F5" i="62"/>
  <c r="B6" i="62"/>
  <c r="C6" i="62"/>
  <c r="D6" i="62"/>
  <c r="E6" i="62"/>
  <c r="F6" i="62"/>
  <c r="B7" i="62"/>
  <c r="C7" i="62"/>
  <c r="D7" i="62"/>
  <c r="E7" i="62"/>
  <c r="F7" i="62"/>
  <c r="B8" i="62"/>
  <c r="C8" i="62"/>
  <c r="D8" i="62"/>
  <c r="E8" i="62"/>
  <c r="F8" i="62"/>
  <c r="B9" i="62"/>
  <c r="C9" i="62"/>
  <c r="D9" i="62"/>
  <c r="E9" i="62"/>
  <c r="F9" i="62"/>
  <c r="B10" i="62"/>
  <c r="C10" i="62"/>
  <c r="D10" i="62"/>
  <c r="E10" i="62"/>
  <c r="F10" i="62"/>
  <c r="B11" i="62"/>
  <c r="C11" i="62"/>
  <c r="D11" i="62"/>
  <c r="E11" i="62"/>
  <c r="F11" i="62"/>
  <c r="B12" i="62"/>
  <c r="C12" i="62"/>
  <c r="D12" i="62"/>
  <c r="E12" i="62"/>
  <c r="F12" i="62"/>
  <c r="B13" i="62"/>
  <c r="C13" i="62"/>
  <c r="D13" i="62"/>
  <c r="E13" i="62"/>
  <c r="F13" i="62"/>
  <c r="B14" i="62"/>
  <c r="C14" i="62"/>
  <c r="D14" i="62"/>
  <c r="E14" i="62"/>
  <c r="F14" i="62"/>
  <c r="F4" i="41"/>
  <c r="F5" i="41"/>
  <c r="F6" i="41"/>
  <c r="F7" i="41"/>
  <c r="F8" i="41"/>
  <c r="F9" i="41"/>
  <c r="F10" i="41"/>
  <c r="F11" i="41"/>
  <c r="F12" i="41"/>
  <c r="F13" i="41"/>
  <c r="F14" i="41"/>
  <c r="F3" i="41"/>
  <c r="E14" i="41"/>
  <c r="D3" i="62"/>
  <c r="B4" i="87"/>
  <c r="C4" i="87"/>
  <c r="D4" i="87"/>
  <c r="E4" i="87"/>
  <c r="F4" i="87"/>
  <c r="B5" i="87"/>
  <c r="C5" i="87"/>
  <c r="D5" i="87"/>
  <c r="E5" i="87"/>
  <c r="F5" i="87"/>
  <c r="B6" i="87"/>
  <c r="C6" i="87"/>
  <c r="D6" i="87"/>
  <c r="E6" i="87"/>
  <c r="F6" i="87"/>
  <c r="B7" i="87"/>
  <c r="C7" i="87"/>
  <c r="D7" i="87"/>
  <c r="E7" i="87"/>
  <c r="F7" i="87"/>
  <c r="B8" i="87"/>
  <c r="C8" i="87"/>
  <c r="D8" i="87"/>
  <c r="E8" i="87"/>
  <c r="F8" i="87"/>
  <c r="B9" i="87"/>
  <c r="C9" i="87"/>
  <c r="D9" i="87"/>
  <c r="E9" i="87"/>
  <c r="F9" i="87"/>
  <c r="B10" i="87"/>
  <c r="C10" i="87"/>
  <c r="D10" i="87"/>
  <c r="E10" i="87"/>
  <c r="F10" i="87"/>
  <c r="B11" i="87"/>
  <c r="C11" i="87"/>
  <c r="D11" i="87"/>
  <c r="E11" i="87"/>
  <c r="F11" i="87"/>
  <c r="B12" i="87"/>
  <c r="C12" i="87"/>
  <c r="D12" i="87"/>
  <c r="E12" i="87"/>
  <c r="F12" i="87"/>
  <c r="B13" i="87"/>
  <c r="C13" i="87"/>
  <c r="D13" i="87"/>
  <c r="E13" i="87"/>
  <c r="F13" i="87"/>
  <c r="B14" i="87"/>
  <c r="C14" i="87"/>
  <c r="D14" i="87"/>
  <c r="E14" i="87"/>
  <c r="F14" i="87"/>
  <c r="B4" i="6"/>
  <c r="C4" i="6"/>
  <c r="D4" i="6"/>
  <c r="E4" i="6"/>
  <c r="F4" i="6"/>
  <c r="B5" i="6"/>
  <c r="C5" i="6"/>
  <c r="D5" i="6"/>
  <c r="E5" i="6"/>
  <c r="F5" i="6"/>
  <c r="B6" i="6"/>
  <c r="C6" i="6"/>
  <c r="D6" i="6"/>
  <c r="E6" i="6"/>
  <c r="F6" i="6"/>
  <c r="B7" i="6"/>
  <c r="C7" i="6"/>
  <c r="D7" i="6"/>
  <c r="E7" i="6"/>
  <c r="F7" i="6"/>
  <c r="B8" i="6"/>
  <c r="C8" i="6"/>
  <c r="D8" i="6"/>
  <c r="E8" i="6"/>
  <c r="F8" i="6"/>
  <c r="B9" i="6"/>
  <c r="C9" i="6"/>
  <c r="D9" i="6"/>
  <c r="E9" i="6"/>
  <c r="F9" i="6"/>
  <c r="B10" i="6"/>
  <c r="C10" i="6"/>
  <c r="D10" i="6"/>
  <c r="E10" i="6"/>
  <c r="F10" i="6"/>
  <c r="B11" i="6"/>
  <c r="C11" i="6"/>
  <c r="D11" i="6"/>
  <c r="E11" i="6"/>
  <c r="F11" i="6"/>
  <c r="B12" i="6"/>
  <c r="C12" i="6"/>
  <c r="D12" i="6"/>
  <c r="E12" i="6"/>
  <c r="F12" i="6"/>
  <c r="B13" i="6"/>
  <c r="C13" i="6"/>
  <c r="D13" i="6"/>
  <c r="E13" i="6"/>
  <c r="F13" i="6"/>
  <c r="B14" i="6"/>
  <c r="C14" i="6"/>
  <c r="D14" i="6"/>
  <c r="E14" i="6"/>
  <c r="F14" i="6"/>
  <c r="B4" i="84"/>
  <c r="C4" i="84"/>
  <c r="D4" i="84"/>
  <c r="E4" i="84"/>
  <c r="F4" i="84"/>
  <c r="B5" i="84"/>
  <c r="C5" i="84"/>
  <c r="D5" i="84"/>
  <c r="E5" i="84"/>
  <c r="F5" i="84"/>
  <c r="B6" i="84"/>
  <c r="C6" i="84"/>
  <c r="D6" i="84"/>
  <c r="E6" i="84"/>
  <c r="F6" i="84"/>
  <c r="B7" i="84"/>
  <c r="C7" i="84"/>
  <c r="D7" i="84"/>
  <c r="E7" i="84"/>
  <c r="F7" i="84"/>
  <c r="B8" i="84"/>
  <c r="C8" i="84"/>
  <c r="D8" i="84"/>
  <c r="E8" i="84"/>
  <c r="F8" i="84"/>
  <c r="B9" i="84"/>
  <c r="C9" i="84"/>
  <c r="D9" i="84"/>
  <c r="E9" i="84"/>
  <c r="F9" i="84"/>
  <c r="B10" i="84"/>
  <c r="C10" i="84"/>
  <c r="D10" i="84"/>
  <c r="E10" i="84"/>
  <c r="F10" i="84"/>
  <c r="B11" i="84"/>
  <c r="C11" i="84"/>
  <c r="D11" i="84"/>
  <c r="E11" i="84"/>
  <c r="F11" i="84"/>
  <c r="B12" i="84"/>
  <c r="C12" i="84"/>
  <c r="D12" i="84"/>
  <c r="E12" i="84"/>
  <c r="F12" i="84"/>
  <c r="B13" i="84"/>
  <c r="C13" i="84"/>
  <c r="D13" i="84"/>
  <c r="E13" i="84"/>
  <c r="F13" i="84"/>
  <c r="B14" i="84"/>
  <c r="C14" i="84"/>
  <c r="D14" i="84"/>
  <c r="E14" i="84"/>
  <c r="F14" i="84"/>
  <c r="B4" i="88"/>
  <c r="C4" i="88"/>
  <c r="D4" i="88"/>
  <c r="E4" i="88"/>
  <c r="F4" i="88"/>
  <c r="B5" i="88"/>
  <c r="C5" i="88"/>
  <c r="D5" i="88"/>
  <c r="E5" i="88"/>
  <c r="F5" i="88"/>
  <c r="B6" i="88"/>
  <c r="C6" i="88"/>
  <c r="D6" i="88"/>
  <c r="E6" i="88"/>
  <c r="F6" i="88"/>
  <c r="B7" i="88"/>
  <c r="C7" i="88"/>
  <c r="D7" i="88"/>
  <c r="E7" i="88"/>
  <c r="F7" i="88"/>
  <c r="B8" i="88"/>
  <c r="C8" i="88"/>
  <c r="D8" i="88"/>
  <c r="E8" i="88"/>
  <c r="F8" i="88"/>
  <c r="B9" i="88"/>
  <c r="C9" i="88"/>
  <c r="D9" i="88"/>
  <c r="E9" i="88"/>
  <c r="F9" i="88"/>
  <c r="B10" i="88"/>
  <c r="C10" i="88"/>
  <c r="D10" i="88"/>
  <c r="E10" i="88"/>
  <c r="F10" i="88"/>
  <c r="B11" i="88"/>
  <c r="C11" i="88"/>
  <c r="D11" i="88"/>
  <c r="E11" i="88"/>
  <c r="F11" i="88"/>
  <c r="B12" i="88"/>
  <c r="C12" i="88"/>
  <c r="D12" i="88"/>
  <c r="E12" i="88"/>
  <c r="F12" i="88"/>
  <c r="B13" i="88"/>
  <c r="C13" i="88"/>
  <c r="D13" i="88"/>
  <c r="E13" i="88"/>
  <c r="F13" i="88"/>
  <c r="B14" i="88"/>
  <c r="C14" i="88"/>
  <c r="D14" i="88"/>
  <c r="E14" i="88"/>
  <c r="F14" i="88"/>
  <c r="B4" i="89"/>
  <c r="C4" i="89"/>
  <c r="D4" i="89"/>
  <c r="E4" i="89"/>
  <c r="F4" i="89"/>
  <c r="B5" i="89"/>
  <c r="C5" i="89"/>
  <c r="D5" i="89"/>
  <c r="E5" i="89"/>
  <c r="F5" i="89"/>
  <c r="B6" i="89"/>
  <c r="C6" i="89"/>
  <c r="D6" i="89"/>
  <c r="E6" i="89"/>
  <c r="F6" i="89"/>
  <c r="B7" i="89"/>
  <c r="C7" i="89"/>
  <c r="D7" i="89"/>
  <c r="E7" i="89"/>
  <c r="F7" i="89"/>
  <c r="B8" i="89"/>
  <c r="C8" i="89"/>
  <c r="D8" i="89"/>
  <c r="E8" i="89"/>
  <c r="F8" i="89"/>
  <c r="B9" i="89"/>
  <c r="C9" i="89"/>
  <c r="D9" i="89"/>
  <c r="E9" i="89"/>
  <c r="F9" i="89"/>
  <c r="B10" i="89"/>
  <c r="C10" i="89"/>
  <c r="D10" i="89"/>
  <c r="E10" i="89"/>
  <c r="F10" i="89"/>
  <c r="B11" i="89"/>
  <c r="C11" i="89"/>
  <c r="D11" i="89"/>
  <c r="E11" i="89"/>
  <c r="F11" i="89"/>
  <c r="B12" i="89"/>
  <c r="C12" i="89"/>
  <c r="D12" i="89"/>
  <c r="E12" i="89"/>
  <c r="F12" i="89"/>
  <c r="B13" i="89"/>
  <c r="C13" i="89"/>
  <c r="D13" i="89"/>
  <c r="E13" i="89"/>
  <c r="F13" i="89"/>
  <c r="B14" i="89"/>
  <c r="C14" i="89"/>
  <c r="D14" i="89"/>
  <c r="E14" i="89"/>
  <c r="F14" i="89"/>
  <c r="B4" i="7"/>
  <c r="C4" i="7"/>
  <c r="D4" i="7"/>
  <c r="E4" i="7"/>
  <c r="F4" i="7"/>
  <c r="B5" i="7"/>
  <c r="C5" i="7"/>
  <c r="D5" i="7"/>
  <c r="E5" i="7"/>
  <c r="F5" i="7"/>
  <c r="B6" i="7"/>
  <c r="C6" i="7"/>
  <c r="D6" i="7"/>
  <c r="E6" i="7"/>
  <c r="F6" i="7"/>
  <c r="B7" i="7"/>
  <c r="C7" i="7"/>
  <c r="D7" i="7"/>
  <c r="E7" i="7"/>
  <c r="F7" i="7"/>
  <c r="B8" i="7"/>
  <c r="C8" i="7"/>
  <c r="D8" i="7"/>
  <c r="E8" i="7"/>
  <c r="F8" i="7"/>
  <c r="B9" i="7"/>
  <c r="C9" i="7"/>
  <c r="D9" i="7"/>
  <c r="E9" i="7"/>
  <c r="F9" i="7"/>
  <c r="B10" i="7"/>
  <c r="C10" i="7"/>
  <c r="D10" i="7"/>
  <c r="E10" i="7"/>
  <c r="F10" i="7"/>
  <c r="B11" i="7"/>
  <c r="C11" i="7"/>
  <c r="D11" i="7"/>
  <c r="E11" i="7"/>
  <c r="F11" i="7"/>
  <c r="B12" i="7"/>
  <c r="C12" i="7"/>
  <c r="D12" i="7"/>
  <c r="E12" i="7"/>
  <c r="F12" i="7"/>
  <c r="B13" i="7"/>
  <c r="C13" i="7"/>
  <c r="D13" i="7"/>
  <c r="E13" i="7"/>
  <c r="F13" i="7"/>
  <c r="B14" i="7"/>
  <c r="C14" i="7"/>
  <c r="D14" i="7"/>
  <c r="E14" i="7"/>
  <c r="F14" i="7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B8" i="9"/>
  <c r="C8" i="9"/>
  <c r="D8" i="9"/>
  <c r="E8" i="9"/>
  <c r="F8" i="9"/>
  <c r="B9" i="9"/>
  <c r="C9" i="9"/>
  <c r="D9" i="9"/>
  <c r="E9" i="9"/>
  <c r="F9" i="9"/>
  <c r="B10" i="9"/>
  <c r="C10" i="9"/>
  <c r="D10" i="9"/>
  <c r="E10" i="9"/>
  <c r="F10" i="9"/>
  <c r="B11" i="9"/>
  <c r="C11" i="9"/>
  <c r="D11" i="9"/>
  <c r="E11" i="9"/>
  <c r="F11" i="9"/>
  <c r="B12" i="9"/>
  <c r="C12" i="9"/>
  <c r="D12" i="9"/>
  <c r="E12" i="9"/>
  <c r="F12" i="9"/>
  <c r="B13" i="9"/>
  <c r="C13" i="9"/>
  <c r="D13" i="9"/>
  <c r="E13" i="9"/>
  <c r="F13" i="9"/>
  <c r="B14" i="9"/>
  <c r="C14" i="9"/>
  <c r="D14" i="9"/>
  <c r="E14" i="9"/>
  <c r="F14" i="9"/>
  <c r="B4" i="10"/>
  <c r="C4" i="10"/>
  <c r="D4" i="10"/>
  <c r="E4" i="10"/>
  <c r="F4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4" i="11"/>
  <c r="C4" i="11"/>
  <c r="D4" i="11"/>
  <c r="E4" i="11"/>
  <c r="F4" i="11"/>
  <c r="B5" i="11"/>
  <c r="C5" i="11"/>
  <c r="D5" i="11"/>
  <c r="E5" i="11"/>
  <c r="F5" i="11"/>
  <c r="B6" i="11"/>
  <c r="C6" i="11"/>
  <c r="D6" i="11"/>
  <c r="E6" i="11"/>
  <c r="F6" i="11"/>
  <c r="B7" i="11"/>
  <c r="C7" i="11"/>
  <c r="D7" i="11"/>
  <c r="E7" i="11"/>
  <c r="F7" i="11"/>
  <c r="B8" i="11"/>
  <c r="C8" i="11"/>
  <c r="D8" i="11"/>
  <c r="E8" i="11"/>
  <c r="F8" i="11"/>
  <c r="B9" i="11"/>
  <c r="C9" i="11"/>
  <c r="D9" i="11"/>
  <c r="E9" i="11"/>
  <c r="F9" i="11"/>
  <c r="B10" i="11"/>
  <c r="C10" i="11"/>
  <c r="D10" i="11"/>
  <c r="E10" i="11"/>
  <c r="F10" i="11"/>
  <c r="B11" i="11"/>
  <c r="C11" i="11"/>
  <c r="D11" i="11"/>
  <c r="E11" i="11"/>
  <c r="F11" i="11"/>
  <c r="B12" i="11"/>
  <c r="C12" i="11"/>
  <c r="D12" i="11"/>
  <c r="E12" i="11"/>
  <c r="F12" i="11"/>
  <c r="B13" i="11"/>
  <c r="C13" i="11"/>
  <c r="D13" i="11"/>
  <c r="E13" i="11"/>
  <c r="F13" i="11"/>
  <c r="B14" i="11"/>
  <c r="C14" i="11"/>
  <c r="D14" i="11"/>
  <c r="E14" i="11"/>
  <c r="F14" i="11"/>
  <c r="B4" i="12"/>
  <c r="C4" i="12"/>
  <c r="D4" i="12"/>
  <c r="E4" i="12"/>
  <c r="F4" i="12"/>
  <c r="B5" i="12"/>
  <c r="C5" i="12"/>
  <c r="D5" i="12"/>
  <c r="E5" i="12"/>
  <c r="F5" i="12"/>
  <c r="B6" i="12"/>
  <c r="C6" i="12"/>
  <c r="D6" i="12"/>
  <c r="E6" i="12"/>
  <c r="F6" i="12"/>
  <c r="B7" i="12"/>
  <c r="C7" i="12"/>
  <c r="D7" i="12"/>
  <c r="E7" i="12"/>
  <c r="F7" i="12"/>
  <c r="B8" i="12"/>
  <c r="C8" i="12"/>
  <c r="D8" i="12"/>
  <c r="E8" i="12"/>
  <c r="F8" i="12"/>
  <c r="B9" i="12"/>
  <c r="C9" i="12"/>
  <c r="D9" i="12"/>
  <c r="E9" i="12"/>
  <c r="F9" i="12"/>
  <c r="B10" i="12"/>
  <c r="C10" i="12"/>
  <c r="D10" i="12"/>
  <c r="E10" i="12"/>
  <c r="F10" i="12"/>
  <c r="B11" i="12"/>
  <c r="C11" i="12"/>
  <c r="D11" i="12"/>
  <c r="E11" i="12"/>
  <c r="F11" i="12"/>
  <c r="B12" i="12"/>
  <c r="C12" i="12"/>
  <c r="D12" i="12"/>
  <c r="E12" i="12"/>
  <c r="F12" i="12"/>
  <c r="B13" i="12"/>
  <c r="C13" i="12"/>
  <c r="D13" i="12"/>
  <c r="E13" i="12"/>
  <c r="F13" i="12"/>
  <c r="B14" i="12"/>
  <c r="C14" i="12"/>
  <c r="D14" i="12"/>
  <c r="E14" i="12"/>
  <c r="F14" i="12"/>
  <c r="B4" i="13"/>
  <c r="C4" i="13"/>
  <c r="D4" i="13"/>
  <c r="E4" i="13"/>
  <c r="F4" i="13"/>
  <c r="B5" i="13"/>
  <c r="C5" i="13"/>
  <c r="D5" i="13"/>
  <c r="E5" i="13"/>
  <c r="F5" i="13"/>
  <c r="B6" i="13"/>
  <c r="C6" i="13"/>
  <c r="D6" i="13"/>
  <c r="E6" i="13"/>
  <c r="F6" i="13"/>
  <c r="B7" i="13"/>
  <c r="C7" i="13"/>
  <c r="D7" i="13"/>
  <c r="E7" i="13"/>
  <c r="F7" i="13"/>
  <c r="B8" i="13"/>
  <c r="C8" i="13"/>
  <c r="D8" i="13"/>
  <c r="E8" i="13"/>
  <c r="F8" i="13"/>
  <c r="B9" i="13"/>
  <c r="C9" i="13"/>
  <c r="D9" i="13"/>
  <c r="E9" i="13"/>
  <c r="F9" i="13"/>
  <c r="B10" i="13"/>
  <c r="C10" i="13"/>
  <c r="D10" i="13"/>
  <c r="E10" i="13"/>
  <c r="F10" i="13"/>
  <c r="B11" i="13"/>
  <c r="C11" i="13"/>
  <c r="D11" i="13"/>
  <c r="E11" i="13"/>
  <c r="F11" i="13"/>
  <c r="B12" i="13"/>
  <c r="C12" i="13"/>
  <c r="D12" i="13"/>
  <c r="E12" i="13"/>
  <c r="F12" i="13"/>
  <c r="B13" i="13"/>
  <c r="C13" i="13"/>
  <c r="D13" i="13"/>
  <c r="E13" i="13"/>
  <c r="F13" i="13"/>
  <c r="B14" i="13"/>
  <c r="C14" i="13"/>
  <c r="D14" i="13"/>
  <c r="E14" i="13"/>
  <c r="F14" i="13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4" i="15"/>
  <c r="C4" i="15"/>
  <c r="D4" i="15"/>
  <c r="E4" i="15"/>
  <c r="F4" i="15"/>
  <c r="B5" i="15"/>
  <c r="C5" i="15"/>
  <c r="D5" i="15"/>
  <c r="E5" i="15"/>
  <c r="F5" i="15"/>
  <c r="B6" i="15"/>
  <c r="C6" i="15"/>
  <c r="D6" i="15"/>
  <c r="E6" i="15"/>
  <c r="F6" i="15"/>
  <c r="B7" i="15"/>
  <c r="C7" i="15"/>
  <c r="D7" i="15"/>
  <c r="E7" i="15"/>
  <c r="F7" i="15"/>
  <c r="B8" i="15"/>
  <c r="C8" i="15"/>
  <c r="D8" i="15"/>
  <c r="E8" i="15"/>
  <c r="F8" i="15"/>
  <c r="B9" i="15"/>
  <c r="C9" i="15"/>
  <c r="D9" i="15"/>
  <c r="E9" i="15"/>
  <c r="F9" i="15"/>
  <c r="B10" i="15"/>
  <c r="C10" i="15"/>
  <c r="D10" i="15"/>
  <c r="E10" i="15"/>
  <c r="F10" i="15"/>
  <c r="B11" i="15"/>
  <c r="C11" i="15"/>
  <c r="D11" i="15"/>
  <c r="E11" i="15"/>
  <c r="F11" i="15"/>
  <c r="B12" i="15"/>
  <c r="C12" i="15"/>
  <c r="D12" i="15"/>
  <c r="E12" i="15"/>
  <c r="F12" i="15"/>
  <c r="B13" i="15"/>
  <c r="C13" i="15"/>
  <c r="D13" i="15"/>
  <c r="E13" i="15"/>
  <c r="F13" i="15"/>
  <c r="B14" i="15"/>
  <c r="C14" i="15"/>
  <c r="D14" i="15"/>
  <c r="E14" i="15"/>
  <c r="F14" i="15"/>
  <c r="B4" i="16"/>
  <c r="C4" i="16"/>
  <c r="D4" i="16"/>
  <c r="E4" i="16"/>
  <c r="F4" i="16"/>
  <c r="B5" i="16"/>
  <c r="C5" i="16"/>
  <c r="D5" i="16"/>
  <c r="E5" i="16"/>
  <c r="F5" i="16"/>
  <c r="B6" i="16"/>
  <c r="C6" i="16"/>
  <c r="D6" i="16"/>
  <c r="E6" i="16"/>
  <c r="F6" i="16"/>
  <c r="B7" i="16"/>
  <c r="C7" i="16"/>
  <c r="D7" i="16"/>
  <c r="E7" i="16"/>
  <c r="F7" i="16"/>
  <c r="B8" i="16"/>
  <c r="C8" i="16"/>
  <c r="D8" i="16"/>
  <c r="E8" i="16"/>
  <c r="F8" i="16"/>
  <c r="B9" i="16"/>
  <c r="C9" i="16"/>
  <c r="D9" i="16"/>
  <c r="E9" i="16"/>
  <c r="F9" i="16"/>
  <c r="B10" i="16"/>
  <c r="C10" i="16"/>
  <c r="D10" i="16"/>
  <c r="E10" i="16"/>
  <c r="F10" i="16"/>
  <c r="B11" i="16"/>
  <c r="C11" i="16"/>
  <c r="D11" i="16"/>
  <c r="E11" i="16"/>
  <c r="F11" i="16"/>
  <c r="B12" i="16"/>
  <c r="C12" i="16"/>
  <c r="D12" i="16"/>
  <c r="E12" i="16"/>
  <c r="F12" i="16"/>
  <c r="B13" i="16"/>
  <c r="C13" i="16"/>
  <c r="D13" i="16"/>
  <c r="E13" i="16"/>
  <c r="F13" i="16"/>
  <c r="B14" i="16"/>
  <c r="C14" i="16"/>
  <c r="D14" i="16"/>
  <c r="E14" i="16"/>
  <c r="F14" i="16"/>
  <c r="B4" i="90"/>
  <c r="C4" i="90"/>
  <c r="D4" i="90"/>
  <c r="E4" i="90"/>
  <c r="F4" i="90"/>
  <c r="B5" i="90"/>
  <c r="C5" i="90"/>
  <c r="D5" i="90"/>
  <c r="E5" i="90"/>
  <c r="F5" i="90"/>
  <c r="B6" i="90"/>
  <c r="C6" i="90"/>
  <c r="D6" i="90"/>
  <c r="E6" i="90"/>
  <c r="F6" i="90"/>
  <c r="B7" i="90"/>
  <c r="C7" i="90"/>
  <c r="D7" i="90"/>
  <c r="E7" i="90"/>
  <c r="F7" i="90"/>
  <c r="B8" i="90"/>
  <c r="C8" i="90"/>
  <c r="D8" i="90"/>
  <c r="E8" i="90"/>
  <c r="F8" i="90"/>
  <c r="B9" i="90"/>
  <c r="C9" i="90"/>
  <c r="D9" i="90"/>
  <c r="E9" i="90"/>
  <c r="F9" i="90"/>
  <c r="B10" i="90"/>
  <c r="C10" i="90"/>
  <c r="D10" i="90"/>
  <c r="E10" i="90"/>
  <c r="F10" i="90"/>
  <c r="B11" i="90"/>
  <c r="C11" i="90"/>
  <c r="D11" i="90"/>
  <c r="E11" i="90"/>
  <c r="F11" i="90"/>
  <c r="B12" i="90"/>
  <c r="C12" i="90"/>
  <c r="D12" i="90"/>
  <c r="E12" i="90"/>
  <c r="F12" i="90"/>
  <c r="B13" i="90"/>
  <c r="C13" i="90"/>
  <c r="D13" i="90"/>
  <c r="E13" i="90"/>
  <c r="F13" i="90"/>
  <c r="B14" i="90"/>
  <c r="C14" i="90"/>
  <c r="D14" i="90"/>
  <c r="E14" i="90"/>
  <c r="F14" i="90"/>
  <c r="B4" i="91"/>
  <c r="C4" i="91"/>
  <c r="D4" i="91"/>
  <c r="E4" i="91"/>
  <c r="F4" i="91"/>
  <c r="B5" i="91"/>
  <c r="C5" i="91"/>
  <c r="D5" i="91"/>
  <c r="E5" i="91"/>
  <c r="F5" i="91"/>
  <c r="B6" i="91"/>
  <c r="C6" i="91"/>
  <c r="D6" i="91"/>
  <c r="E6" i="91"/>
  <c r="F6" i="91"/>
  <c r="B7" i="91"/>
  <c r="C7" i="91"/>
  <c r="D7" i="91"/>
  <c r="E7" i="91"/>
  <c r="F7" i="91"/>
  <c r="B8" i="91"/>
  <c r="C8" i="91"/>
  <c r="D8" i="91"/>
  <c r="E8" i="91"/>
  <c r="F8" i="91"/>
  <c r="B9" i="91"/>
  <c r="C9" i="91"/>
  <c r="D9" i="91"/>
  <c r="E9" i="91"/>
  <c r="F9" i="91"/>
  <c r="B10" i="91"/>
  <c r="C10" i="91"/>
  <c r="D10" i="91"/>
  <c r="E10" i="91"/>
  <c r="F10" i="91"/>
  <c r="B11" i="91"/>
  <c r="C11" i="91"/>
  <c r="D11" i="91"/>
  <c r="E11" i="91"/>
  <c r="F11" i="91"/>
  <c r="B12" i="91"/>
  <c r="C12" i="91"/>
  <c r="D12" i="91"/>
  <c r="E12" i="91"/>
  <c r="F12" i="91"/>
  <c r="B13" i="91"/>
  <c r="C13" i="91"/>
  <c r="D13" i="91"/>
  <c r="E13" i="91"/>
  <c r="F13" i="91"/>
  <c r="B14" i="91"/>
  <c r="C14" i="91"/>
  <c r="D14" i="91"/>
  <c r="E14" i="91"/>
  <c r="F14" i="91"/>
  <c r="B4" i="17"/>
  <c r="C4" i="17"/>
  <c r="D4" i="17"/>
  <c r="E4" i="17"/>
  <c r="F4" i="17"/>
  <c r="B5" i="17"/>
  <c r="C5" i="17"/>
  <c r="D5" i="17"/>
  <c r="E5" i="17"/>
  <c r="F5" i="17"/>
  <c r="B6" i="17"/>
  <c r="C6" i="17"/>
  <c r="D6" i="17"/>
  <c r="E6" i="17"/>
  <c r="F6" i="17"/>
  <c r="B7" i="17"/>
  <c r="C7" i="17"/>
  <c r="D7" i="17"/>
  <c r="E7" i="17"/>
  <c r="F7" i="17"/>
  <c r="B8" i="17"/>
  <c r="C8" i="17"/>
  <c r="D8" i="17"/>
  <c r="E8" i="17"/>
  <c r="F8" i="17"/>
  <c r="B9" i="17"/>
  <c r="C9" i="17"/>
  <c r="D9" i="17"/>
  <c r="E9" i="17"/>
  <c r="F9" i="17"/>
  <c r="B10" i="17"/>
  <c r="C10" i="17"/>
  <c r="D10" i="17"/>
  <c r="E10" i="17"/>
  <c r="F10" i="17"/>
  <c r="B11" i="17"/>
  <c r="C11" i="17"/>
  <c r="D11" i="17"/>
  <c r="E11" i="17"/>
  <c r="F11" i="17"/>
  <c r="B12" i="17"/>
  <c r="C12" i="17"/>
  <c r="D12" i="17"/>
  <c r="E12" i="17"/>
  <c r="F12" i="17"/>
  <c r="B13" i="17"/>
  <c r="C13" i="17"/>
  <c r="D13" i="17"/>
  <c r="E13" i="17"/>
  <c r="F13" i="17"/>
  <c r="B14" i="17"/>
  <c r="C14" i="17"/>
  <c r="D14" i="17"/>
  <c r="E14" i="17"/>
  <c r="F14" i="17"/>
  <c r="B4" i="20"/>
  <c r="C4" i="20"/>
  <c r="D4" i="20"/>
  <c r="E4" i="20"/>
  <c r="F4" i="20"/>
  <c r="B5" i="20"/>
  <c r="C5" i="20"/>
  <c r="D5" i="20"/>
  <c r="E5" i="20"/>
  <c r="F5" i="20"/>
  <c r="B6" i="20"/>
  <c r="C6" i="20"/>
  <c r="D6" i="20"/>
  <c r="E6" i="20"/>
  <c r="F6" i="20"/>
  <c r="B7" i="20"/>
  <c r="C7" i="20"/>
  <c r="D7" i="20"/>
  <c r="E7" i="20"/>
  <c r="F7" i="20"/>
  <c r="B8" i="20"/>
  <c r="C8" i="20"/>
  <c r="D8" i="20"/>
  <c r="E8" i="20"/>
  <c r="F8" i="20"/>
  <c r="B9" i="20"/>
  <c r="C9" i="20"/>
  <c r="D9" i="20"/>
  <c r="E9" i="20"/>
  <c r="F9" i="20"/>
  <c r="B10" i="20"/>
  <c r="C10" i="20"/>
  <c r="D10" i="20"/>
  <c r="E10" i="20"/>
  <c r="F10" i="20"/>
  <c r="B11" i="20"/>
  <c r="C11" i="20"/>
  <c r="D11" i="20"/>
  <c r="E11" i="20"/>
  <c r="F11" i="20"/>
  <c r="B12" i="20"/>
  <c r="C12" i="20"/>
  <c r="D12" i="20"/>
  <c r="E12" i="20"/>
  <c r="F12" i="20"/>
  <c r="B13" i="20"/>
  <c r="C13" i="20"/>
  <c r="D13" i="20"/>
  <c r="E13" i="20"/>
  <c r="F13" i="20"/>
  <c r="B14" i="20"/>
  <c r="C14" i="20"/>
  <c r="D14" i="20"/>
  <c r="E14" i="20"/>
  <c r="F14" i="20"/>
  <c r="B4" i="22"/>
  <c r="C4" i="22"/>
  <c r="D4" i="22"/>
  <c r="E4" i="22"/>
  <c r="F4" i="22"/>
  <c r="B5" i="22"/>
  <c r="C5" i="22"/>
  <c r="D5" i="22"/>
  <c r="E5" i="22"/>
  <c r="F5" i="22"/>
  <c r="B6" i="22"/>
  <c r="C6" i="22"/>
  <c r="D6" i="22"/>
  <c r="E6" i="22"/>
  <c r="F6" i="22"/>
  <c r="B7" i="22"/>
  <c r="C7" i="22"/>
  <c r="D7" i="22"/>
  <c r="E7" i="22"/>
  <c r="F7" i="22"/>
  <c r="B8" i="22"/>
  <c r="C8" i="22"/>
  <c r="D8" i="22"/>
  <c r="E8" i="22"/>
  <c r="F8" i="22"/>
  <c r="B9" i="22"/>
  <c r="C9" i="22"/>
  <c r="D9" i="22"/>
  <c r="E9" i="22"/>
  <c r="F9" i="22"/>
  <c r="B10" i="22"/>
  <c r="C10" i="22"/>
  <c r="D10" i="22"/>
  <c r="E10" i="22"/>
  <c r="F10" i="22"/>
  <c r="B11" i="22"/>
  <c r="C11" i="22"/>
  <c r="D11" i="22"/>
  <c r="E11" i="22"/>
  <c r="F11" i="22"/>
  <c r="B12" i="22"/>
  <c r="C12" i="22"/>
  <c r="D12" i="22"/>
  <c r="E12" i="22"/>
  <c r="F12" i="22"/>
  <c r="B13" i="22"/>
  <c r="C13" i="22"/>
  <c r="D13" i="22"/>
  <c r="E13" i="22"/>
  <c r="F13" i="22"/>
  <c r="B14" i="22"/>
  <c r="C14" i="22"/>
  <c r="D14" i="22"/>
  <c r="E14" i="22"/>
  <c r="F14" i="22"/>
  <c r="B4" i="27"/>
  <c r="C4" i="27"/>
  <c r="D4" i="27"/>
  <c r="E4" i="27"/>
  <c r="F4" i="27"/>
  <c r="B5" i="27"/>
  <c r="C5" i="27"/>
  <c r="D5" i="27"/>
  <c r="E5" i="27"/>
  <c r="F5" i="27"/>
  <c r="B6" i="27"/>
  <c r="C6" i="27"/>
  <c r="D6" i="27"/>
  <c r="E6" i="27"/>
  <c r="F6" i="27"/>
  <c r="B7" i="27"/>
  <c r="C7" i="27"/>
  <c r="D7" i="27"/>
  <c r="E7" i="27"/>
  <c r="F7" i="27"/>
  <c r="B8" i="27"/>
  <c r="C8" i="27"/>
  <c r="D8" i="27"/>
  <c r="E8" i="27"/>
  <c r="F8" i="27"/>
  <c r="B9" i="27"/>
  <c r="C9" i="27"/>
  <c r="D9" i="27"/>
  <c r="E9" i="27"/>
  <c r="F9" i="27"/>
  <c r="B10" i="27"/>
  <c r="C10" i="27"/>
  <c r="D10" i="27"/>
  <c r="E10" i="27"/>
  <c r="F10" i="27"/>
  <c r="B11" i="27"/>
  <c r="C11" i="27"/>
  <c r="D11" i="27"/>
  <c r="E11" i="27"/>
  <c r="F11" i="27"/>
  <c r="B12" i="27"/>
  <c r="C12" i="27"/>
  <c r="D12" i="27"/>
  <c r="E12" i="27"/>
  <c r="F12" i="27"/>
  <c r="B13" i="27"/>
  <c r="C13" i="27"/>
  <c r="D13" i="27"/>
  <c r="E13" i="27"/>
  <c r="F13" i="27"/>
  <c r="B14" i="27"/>
  <c r="C14" i="27"/>
  <c r="D14" i="27"/>
  <c r="E14" i="27"/>
  <c r="F14" i="27"/>
  <c r="B4" i="28"/>
  <c r="C4" i="28"/>
  <c r="D4" i="28"/>
  <c r="E4" i="28"/>
  <c r="F4" i="28"/>
  <c r="B5" i="28"/>
  <c r="C5" i="28"/>
  <c r="D5" i="28"/>
  <c r="E5" i="28"/>
  <c r="F5" i="28"/>
  <c r="B6" i="28"/>
  <c r="C6" i="28"/>
  <c r="D6" i="28"/>
  <c r="E6" i="28"/>
  <c r="F6" i="28"/>
  <c r="B7" i="28"/>
  <c r="C7" i="28"/>
  <c r="D7" i="28"/>
  <c r="E7" i="28"/>
  <c r="F7" i="28"/>
  <c r="B8" i="28"/>
  <c r="C8" i="28"/>
  <c r="D8" i="28"/>
  <c r="E8" i="28"/>
  <c r="F8" i="28"/>
  <c r="B9" i="28"/>
  <c r="C9" i="28"/>
  <c r="D9" i="28"/>
  <c r="E9" i="28"/>
  <c r="F9" i="28"/>
  <c r="B10" i="28"/>
  <c r="C10" i="28"/>
  <c r="D10" i="28"/>
  <c r="E10" i="28"/>
  <c r="F10" i="28"/>
  <c r="B11" i="28"/>
  <c r="C11" i="28"/>
  <c r="D11" i="28"/>
  <c r="E11" i="28"/>
  <c r="F11" i="28"/>
  <c r="B12" i="28"/>
  <c r="C12" i="28"/>
  <c r="D12" i="28"/>
  <c r="E12" i="28"/>
  <c r="F12" i="28"/>
  <c r="B13" i="28"/>
  <c r="C13" i="28"/>
  <c r="D13" i="28"/>
  <c r="E13" i="28"/>
  <c r="F13" i="28"/>
  <c r="B14" i="28"/>
  <c r="C14" i="28"/>
  <c r="D14" i="28"/>
  <c r="E14" i="28"/>
  <c r="F14" i="28"/>
  <c r="B4" i="29"/>
  <c r="C4" i="29"/>
  <c r="D4" i="29"/>
  <c r="E4" i="29"/>
  <c r="F4" i="29"/>
  <c r="B5" i="29"/>
  <c r="C5" i="29"/>
  <c r="D5" i="29"/>
  <c r="E5" i="29"/>
  <c r="F5" i="29"/>
  <c r="B6" i="29"/>
  <c r="C6" i="29"/>
  <c r="D6" i="29"/>
  <c r="E6" i="29"/>
  <c r="F6" i="29"/>
  <c r="B7" i="29"/>
  <c r="C7" i="29"/>
  <c r="D7" i="29"/>
  <c r="E7" i="29"/>
  <c r="F7" i="29"/>
  <c r="B8" i="29"/>
  <c r="C8" i="29"/>
  <c r="D8" i="29"/>
  <c r="E8" i="29"/>
  <c r="F8" i="29"/>
  <c r="B9" i="29"/>
  <c r="C9" i="29"/>
  <c r="D9" i="29"/>
  <c r="E9" i="29"/>
  <c r="F9" i="29"/>
  <c r="B10" i="29"/>
  <c r="C10" i="29"/>
  <c r="D10" i="29"/>
  <c r="E10" i="29"/>
  <c r="F10" i="29"/>
  <c r="B11" i="29"/>
  <c r="C11" i="29"/>
  <c r="D11" i="29"/>
  <c r="E11" i="29"/>
  <c r="F11" i="29"/>
  <c r="B12" i="29"/>
  <c r="C12" i="29"/>
  <c r="D12" i="29"/>
  <c r="E12" i="29"/>
  <c r="F12" i="29"/>
  <c r="B13" i="29"/>
  <c r="C13" i="29"/>
  <c r="D13" i="29"/>
  <c r="E13" i="29"/>
  <c r="F13" i="29"/>
  <c r="B14" i="29"/>
  <c r="C14" i="29"/>
  <c r="D14" i="29"/>
  <c r="E14" i="29"/>
  <c r="F14" i="29"/>
  <c r="B4" i="30"/>
  <c r="C4" i="30"/>
  <c r="D4" i="30"/>
  <c r="E4" i="30"/>
  <c r="F4" i="30"/>
  <c r="B5" i="30"/>
  <c r="C5" i="30"/>
  <c r="D5" i="30"/>
  <c r="E5" i="30"/>
  <c r="F5" i="30"/>
  <c r="B6" i="30"/>
  <c r="C6" i="30"/>
  <c r="D6" i="30"/>
  <c r="E6" i="30"/>
  <c r="F6" i="30"/>
  <c r="B7" i="30"/>
  <c r="C7" i="30"/>
  <c r="D7" i="30"/>
  <c r="E7" i="30"/>
  <c r="F7" i="30"/>
  <c r="B8" i="30"/>
  <c r="C8" i="30"/>
  <c r="D8" i="30"/>
  <c r="E8" i="30"/>
  <c r="F8" i="30"/>
  <c r="B9" i="30"/>
  <c r="C9" i="30"/>
  <c r="D9" i="30"/>
  <c r="E9" i="30"/>
  <c r="F9" i="30"/>
  <c r="B10" i="30"/>
  <c r="C10" i="30"/>
  <c r="D10" i="30"/>
  <c r="E10" i="30"/>
  <c r="F10" i="30"/>
  <c r="B11" i="30"/>
  <c r="C11" i="30"/>
  <c r="D11" i="30"/>
  <c r="E11" i="30"/>
  <c r="F11" i="30"/>
  <c r="B12" i="30"/>
  <c r="C12" i="30"/>
  <c r="D12" i="30"/>
  <c r="E12" i="30"/>
  <c r="F12" i="30"/>
  <c r="B13" i="30"/>
  <c r="C13" i="30"/>
  <c r="D13" i="30"/>
  <c r="E13" i="30"/>
  <c r="F13" i="30"/>
  <c r="B14" i="30"/>
  <c r="C14" i="30"/>
  <c r="D14" i="30"/>
  <c r="E14" i="30"/>
  <c r="F14" i="30"/>
  <c r="B4" i="92"/>
  <c r="C4" i="92"/>
  <c r="D4" i="92"/>
  <c r="E4" i="92"/>
  <c r="F4" i="92"/>
  <c r="B5" i="92"/>
  <c r="C5" i="92"/>
  <c r="D5" i="92"/>
  <c r="E5" i="92"/>
  <c r="F5" i="92"/>
  <c r="B6" i="92"/>
  <c r="C6" i="92"/>
  <c r="D6" i="92"/>
  <c r="E6" i="92"/>
  <c r="F6" i="92"/>
  <c r="B7" i="92"/>
  <c r="C7" i="92"/>
  <c r="D7" i="92"/>
  <c r="E7" i="92"/>
  <c r="F7" i="92"/>
  <c r="B8" i="92"/>
  <c r="C8" i="92"/>
  <c r="D8" i="92"/>
  <c r="E8" i="92"/>
  <c r="F8" i="92"/>
  <c r="B9" i="92"/>
  <c r="C9" i="92"/>
  <c r="D9" i="92"/>
  <c r="E9" i="92"/>
  <c r="F9" i="92"/>
  <c r="B10" i="92"/>
  <c r="C10" i="92"/>
  <c r="D10" i="92"/>
  <c r="E10" i="92"/>
  <c r="F10" i="92"/>
  <c r="B11" i="92"/>
  <c r="C11" i="92"/>
  <c r="D11" i="92"/>
  <c r="E11" i="92"/>
  <c r="F11" i="92"/>
  <c r="B12" i="92"/>
  <c r="C12" i="92"/>
  <c r="D12" i="92"/>
  <c r="E12" i="92"/>
  <c r="F12" i="92"/>
  <c r="B13" i="92"/>
  <c r="C13" i="92"/>
  <c r="D13" i="92"/>
  <c r="E13" i="92"/>
  <c r="F13" i="92"/>
  <c r="B14" i="92"/>
  <c r="C14" i="92"/>
  <c r="D14" i="92"/>
  <c r="E14" i="92"/>
  <c r="F14" i="92"/>
  <c r="B4" i="93"/>
  <c r="C4" i="93"/>
  <c r="D4" i="93"/>
  <c r="E4" i="93"/>
  <c r="F4" i="93"/>
  <c r="B5" i="93"/>
  <c r="C5" i="93"/>
  <c r="D5" i="93"/>
  <c r="E5" i="93"/>
  <c r="F5" i="93"/>
  <c r="B6" i="93"/>
  <c r="C6" i="93"/>
  <c r="D6" i="93"/>
  <c r="E6" i="93"/>
  <c r="F6" i="93"/>
  <c r="B7" i="93"/>
  <c r="C7" i="93"/>
  <c r="D7" i="93"/>
  <c r="E7" i="93"/>
  <c r="F7" i="93"/>
  <c r="B8" i="93"/>
  <c r="C8" i="93"/>
  <c r="D8" i="93"/>
  <c r="E8" i="93"/>
  <c r="F8" i="93"/>
  <c r="B9" i="93"/>
  <c r="C9" i="93"/>
  <c r="D9" i="93"/>
  <c r="E9" i="93"/>
  <c r="F9" i="93"/>
  <c r="B10" i="93"/>
  <c r="C10" i="93"/>
  <c r="D10" i="93"/>
  <c r="E10" i="93"/>
  <c r="F10" i="93"/>
  <c r="B11" i="93"/>
  <c r="C11" i="93"/>
  <c r="D11" i="93"/>
  <c r="E11" i="93"/>
  <c r="F11" i="93"/>
  <c r="B12" i="93"/>
  <c r="C12" i="93"/>
  <c r="D12" i="93"/>
  <c r="E12" i="93"/>
  <c r="F12" i="93"/>
  <c r="B13" i="93"/>
  <c r="C13" i="93"/>
  <c r="D13" i="93"/>
  <c r="E13" i="93"/>
  <c r="F13" i="93"/>
  <c r="B14" i="93"/>
  <c r="C14" i="93"/>
  <c r="D14" i="93"/>
  <c r="E14" i="93"/>
  <c r="F14" i="93"/>
  <c r="B4" i="34"/>
  <c r="C4" i="34"/>
  <c r="D4" i="34"/>
  <c r="E4" i="34"/>
  <c r="F4" i="34"/>
  <c r="B5" i="34"/>
  <c r="C5" i="34"/>
  <c r="D5" i="34"/>
  <c r="E5" i="34"/>
  <c r="F5" i="34"/>
  <c r="B6" i="34"/>
  <c r="C6" i="34"/>
  <c r="D6" i="34"/>
  <c r="E6" i="34"/>
  <c r="F6" i="34"/>
  <c r="B7" i="34"/>
  <c r="C7" i="34"/>
  <c r="D7" i="34"/>
  <c r="E7" i="34"/>
  <c r="F7" i="34"/>
  <c r="B8" i="34"/>
  <c r="C8" i="34"/>
  <c r="D8" i="34"/>
  <c r="E8" i="34"/>
  <c r="F8" i="34"/>
  <c r="B9" i="34"/>
  <c r="C9" i="34"/>
  <c r="D9" i="34"/>
  <c r="E9" i="34"/>
  <c r="F9" i="34"/>
  <c r="B10" i="34"/>
  <c r="C10" i="34"/>
  <c r="D10" i="34"/>
  <c r="E10" i="34"/>
  <c r="F10" i="34"/>
  <c r="B11" i="34"/>
  <c r="C11" i="34"/>
  <c r="D11" i="34"/>
  <c r="E11" i="34"/>
  <c r="F11" i="34"/>
  <c r="B12" i="34"/>
  <c r="C12" i="34"/>
  <c r="D12" i="34"/>
  <c r="E12" i="34"/>
  <c r="F12" i="34"/>
  <c r="B13" i="34"/>
  <c r="C13" i="34"/>
  <c r="D13" i="34"/>
  <c r="E13" i="34"/>
  <c r="F13" i="34"/>
  <c r="B14" i="34"/>
  <c r="C14" i="34"/>
  <c r="D14" i="34"/>
  <c r="E14" i="34"/>
  <c r="F14" i="34"/>
  <c r="B4" i="35"/>
  <c r="C4" i="35"/>
  <c r="D4" i="35"/>
  <c r="E4" i="35"/>
  <c r="F4" i="35"/>
  <c r="B5" i="35"/>
  <c r="C5" i="35"/>
  <c r="D5" i="35"/>
  <c r="E5" i="35"/>
  <c r="F5" i="35"/>
  <c r="B6" i="35"/>
  <c r="C6" i="35"/>
  <c r="D6" i="35"/>
  <c r="E6" i="35"/>
  <c r="F6" i="35"/>
  <c r="B7" i="35"/>
  <c r="C7" i="35"/>
  <c r="D7" i="35"/>
  <c r="E7" i="35"/>
  <c r="F7" i="35"/>
  <c r="B8" i="35"/>
  <c r="C8" i="35"/>
  <c r="D8" i="35"/>
  <c r="E8" i="35"/>
  <c r="F8" i="35"/>
  <c r="B9" i="35"/>
  <c r="C9" i="35"/>
  <c r="D9" i="35"/>
  <c r="E9" i="35"/>
  <c r="F9" i="35"/>
  <c r="B10" i="35"/>
  <c r="C10" i="35"/>
  <c r="D10" i="35"/>
  <c r="E10" i="35"/>
  <c r="F10" i="35"/>
  <c r="B11" i="35"/>
  <c r="C11" i="35"/>
  <c r="D11" i="35"/>
  <c r="E11" i="35"/>
  <c r="F11" i="35"/>
  <c r="B12" i="35"/>
  <c r="C12" i="35"/>
  <c r="D12" i="35"/>
  <c r="E12" i="35"/>
  <c r="F12" i="35"/>
  <c r="B13" i="35"/>
  <c r="C13" i="35"/>
  <c r="D13" i="35"/>
  <c r="E13" i="35"/>
  <c r="F13" i="35"/>
  <c r="B14" i="35"/>
  <c r="C14" i="35"/>
  <c r="D14" i="35"/>
  <c r="E14" i="35"/>
  <c r="F14" i="35"/>
  <c r="B4" i="36"/>
  <c r="C4" i="36"/>
  <c r="D4" i="36"/>
  <c r="E4" i="36"/>
  <c r="F4" i="36"/>
  <c r="B5" i="36"/>
  <c r="C5" i="36"/>
  <c r="D5" i="36"/>
  <c r="E5" i="36"/>
  <c r="F5" i="36"/>
  <c r="B6" i="36"/>
  <c r="C6" i="36"/>
  <c r="D6" i="36"/>
  <c r="E6" i="36"/>
  <c r="F6" i="36"/>
  <c r="B7" i="36"/>
  <c r="C7" i="36"/>
  <c r="D7" i="36"/>
  <c r="E7" i="36"/>
  <c r="F7" i="36"/>
  <c r="B8" i="36"/>
  <c r="C8" i="36"/>
  <c r="D8" i="36"/>
  <c r="E8" i="36"/>
  <c r="F8" i="36"/>
  <c r="B9" i="36"/>
  <c r="C9" i="36"/>
  <c r="D9" i="36"/>
  <c r="E9" i="36"/>
  <c r="F9" i="36"/>
  <c r="B10" i="36"/>
  <c r="C10" i="36"/>
  <c r="D10" i="36"/>
  <c r="E10" i="36"/>
  <c r="F10" i="36"/>
  <c r="B11" i="36"/>
  <c r="C11" i="36"/>
  <c r="D11" i="36"/>
  <c r="E11" i="36"/>
  <c r="F11" i="36"/>
  <c r="B12" i="36"/>
  <c r="C12" i="36"/>
  <c r="D12" i="36"/>
  <c r="E12" i="36"/>
  <c r="F12" i="36"/>
  <c r="B13" i="36"/>
  <c r="C13" i="36"/>
  <c r="D13" i="36"/>
  <c r="E13" i="36"/>
  <c r="F13" i="36"/>
  <c r="B14" i="36"/>
  <c r="C14" i="36"/>
  <c r="D14" i="36"/>
  <c r="E14" i="36"/>
  <c r="F14" i="36"/>
  <c r="B4" i="37"/>
  <c r="C4" i="37"/>
  <c r="D4" i="37"/>
  <c r="E4" i="37"/>
  <c r="F4" i="37"/>
  <c r="B5" i="37"/>
  <c r="C5" i="37"/>
  <c r="D5" i="37"/>
  <c r="E5" i="37"/>
  <c r="F5" i="37"/>
  <c r="B6" i="37"/>
  <c r="C6" i="37"/>
  <c r="D6" i="37"/>
  <c r="E6" i="37"/>
  <c r="F6" i="37"/>
  <c r="B7" i="37"/>
  <c r="C7" i="37"/>
  <c r="D7" i="37"/>
  <c r="E7" i="37"/>
  <c r="F7" i="37"/>
  <c r="B8" i="37"/>
  <c r="C8" i="37"/>
  <c r="D8" i="37"/>
  <c r="E8" i="37"/>
  <c r="F8" i="37"/>
  <c r="B9" i="37"/>
  <c r="C9" i="37"/>
  <c r="D9" i="37"/>
  <c r="E9" i="37"/>
  <c r="F9" i="37"/>
  <c r="B10" i="37"/>
  <c r="C10" i="37"/>
  <c r="D10" i="37"/>
  <c r="E10" i="37"/>
  <c r="F10" i="37"/>
  <c r="B11" i="37"/>
  <c r="C11" i="37"/>
  <c r="D11" i="37"/>
  <c r="E11" i="37"/>
  <c r="F11" i="37"/>
  <c r="B12" i="37"/>
  <c r="C12" i="37"/>
  <c r="D12" i="37"/>
  <c r="E12" i="37"/>
  <c r="F12" i="37"/>
  <c r="B13" i="37"/>
  <c r="C13" i="37"/>
  <c r="D13" i="37"/>
  <c r="E13" i="37"/>
  <c r="F13" i="37"/>
  <c r="B14" i="37"/>
  <c r="C14" i="37"/>
  <c r="D14" i="37"/>
  <c r="E14" i="37"/>
  <c r="F14" i="37"/>
  <c r="B4" i="38"/>
  <c r="C4" i="38"/>
  <c r="D4" i="38"/>
  <c r="E4" i="38"/>
  <c r="F4" i="38"/>
  <c r="B5" i="38"/>
  <c r="C5" i="38"/>
  <c r="D5" i="38"/>
  <c r="E5" i="38"/>
  <c r="F5" i="38"/>
  <c r="B6" i="38"/>
  <c r="C6" i="38"/>
  <c r="D6" i="38"/>
  <c r="E6" i="38"/>
  <c r="F6" i="38"/>
  <c r="B7" i="38"/>
  <c r="C7" i="38"/>
  <c r="D7" i="38"/>
  <c r="E7" i="38"/>
  <c r="F7" i="38"/>
  <c r="B8" i="38"/>
  <c r="C8" i="38"/>
  <c r="D8" i="38"/>
  <c r="E8" i="38"/>
  <c r="F8" i="38"/>
  <c r="B9" i="38"/>
  <c r="C9" i="38"/>
  <c r="D9" i="38"/>
  <c r="E9" i="38"/>
  <c r="F9" i="38"/>
  <c r="B10" i="38"/>
  <c r="C10" i="38"/>
  <c r="D10" i="38"/>
  <c r="E10" i="38"/>
  <c r="F10" i="38"/>
  <c r="B11" i="38"/>
  <c r="C11" i="38"/>
  <c r="D11" i="38"/>
  <c r="E11" i="38"/>
  <c r="F11" i="38"/>
  <c r="B12" i="38"/>
  <c r="C12" i="38"/>
  <c r="D12" i="38"/>
  <c r="E12" i="38"/>
  <c r="F12" i="38"/>
  <c r="B13" i="38"/>
  <c r="C13" i="38"/>
  <c r="D13" i="38"/>
  <c r="E13" i="38"/>
  <c r="F13" i="38"/>
  <c r="B14" i="38"/>
  <c r="C14" i="38"/>
  <c r="D14" i="38"/>
  <c r="E14" i="38"/>
  <c r="F14" i="38"/>
  <c r="B4" i="39"/>
  <c r="C4" i="39"/>
  <c r="D4" i="39"/>
  <c r="E4" i="39"/>
  <c r="F4" i="39"/>
  <c r="B5" i="39"/>
  <c r="C5" i="39"/>
  <c r="D5" i="39"/>
  <c r="E5" i="39"/>
  <c r="F5" i="39"/>
  <c r="B6" i="39"/>
  <c r="C6" i="39"/>
  <c r="D6" i="39"/>
  <c r="E6" i="39"/>
  <c r="F6" i="39"/>
  <c r="B7" i="39"/>
  <c r="C7" i="39"/>
  <c r="D7" i="39"/>
  <c r="E7" i="39"/>
  <c r="F7" i="39"/>
  <c r="B8" i="39"/>
  <c r="C8" i="39"/>
  <c r="D8" i="39"/>
  <c r="E8" i="39"/>
  <c r="F8" i="39"/>
  <c r="B9" i="39"/>
  <c r="C9" i="39"/>
  <c r="D9" i="39"/>
  <c r="E9" i="39"/>
  <c r="F9" i="39"/>
  <c r="B10" i="39"/>
  <c r="C10" i="39"/>
  <c r="D10" i="39"/>
  <c r="E10" i="39"/>
  <c r="F10" i="39"/>
  <c r="B11" i="39"/>
  <c r="C11" i="39"/>
  <c r="D11" i="39"/>
  <c r="E11" i="39"/>
  <c r="F11" i="39"/>
  <c r="B12" i="39"/>
  <c r="C12" i="39"/>
  <c r="D12" i="39"/>
  <c r="E12" i="39"/>
  <c r="F12" i="39"/>
  <c r="B13" i="39"/>
  <c r="C13" i="39"/>
  <c r="D13" i="39"/>
  <c r="E13" i="39"/>
  <c r="F13" i="39"/>
  <c r="B14" i="39"/>
  <c r="C14" i="39"/>
  <c r="D14" i="39"/>
  <c r="E14" i="39"/>
  <c r="F14" i="39"/>
  <c r="B4" i="40"/>
  <c r="C4" i="40"/>
  <c r="D4" i="40"/>
  <c r="E4" i="40"/>
  <c r="F4" i="40"/>
  <c r="B5" i="40"/>
  <c r="C5" i="40"/>
  <c r="D5" i="40"/>
  <c r="E5" i="40"/>
  <c r="F5" i="40"/>
  <c r="B6" i="40"/>
  <c r="C6" i="40"/>
  <c r="D6" i="40"/>
  <c r="E6" i="40"/>
  <c r="F6" i="40"/>
  <c r="B7" i="40"/>
  <c r="C7" i="40"/>
  <c r="D7" i="40"/>
  <c r="E7" i="40"/>
  <c r="F7" i="40"/>
  <c r="B8" i="40"/>
  <c r="C8" i="40"/>
  <c r="D8" i="40"/>
  <c r="E8" i="40"/>
  <c r="F8" i="40"/>
  <c r="B9" i="40"/>
  <c r="C9" i="40"/>
  <c r="D9" i="40"/>
  <c r="E9" i="40"/>
  <c r="F9" i="40"/>
  <c r="B10" i="40"/>
  <c r="C10" i="40"/>
  <c r="D10" i="40"/>
  <c r="E10" i="40"/>
  <c r="F10" i="40"/>
  <c r="B11" i="40"/>
  <c r="C11" i="40"/>
  <c r="D11" i="40"/>
  <c r="E11" i="40"/>
  <c r="F11" i="40"/>
  <c r="B12" i="40"/>
  <c r="C12" i="40"/>
  <c r="D12" i="40"/>
  <c r="E12" i="40"/>
  <c r="F12" i="40"/>
  <c r="B13" i="40"/>
  <c r="C13" i="40"/>
  <c r="D13" i="40"/>
  <c r="E13" i="40"/>
  <c r="F13" i="40"/>
  <c r="B14" i="40"/>
  <c r="C14" i="40"/>
  <c r="D14" i="40"/>
  <c r="E14" i="40"/>
  <c r="F14" i="40"/>
  <c r="B4" i="41"/>
  <c r="C4" i="41"/>
  <c r="D4" i="41"/>
  <c r="E4" i="41"/>
  <c r="B5" i="41"/>
  <c r="C5" i="41"/>
  <c r="D5" i="41"/>
  <c r="E5" i="41"/>
  <c r="B6" i="41"/>
  <c r="C6" i="41"/>
  <c r="D6" i="41"/>
  <c r="E6" i="41"/>
  <c r="B7" i="41"/>
  <c r="C7" i="41"/>
  <c r="D7" i="41"/>
  <c r="E7" i="41"/>
  <c r="B8" i="41"/>
  <c r="C8" i="41"/>
  <c r="D8" i="41"/>
  <c r="E8" i="41"/>
  <c r="B9" i="41"/>
  <c r="C9" i="41"/>
  <c r="D9" i="41"/>
  <c r="E9" i="41"/>
  <c r="B10" i="41"/>
  <c r="C10" i="41"/>
  <c r="D10" i="41"/>
  <c r="E10" i="41"/>
  <c r="B11" i="41"/>
  <c r="C11" i="41"/>
  <c r="D11" i="41"/>
  <c r="E11" i="41"/>
  <c r="B12" i="41"/>
  <c r="C12" i="41"/>
  <c r="D12" i="41"/>
  <c r="E12" i="41"/>
  <c r="B13" i="41"/>
  <c r="C13" i="41"/>
  <c r="D13" i="41"/>
  <c r="E13" i="41"/>
  <c r="B14" i="41"/>
  <c r="C14" i="41"/>
  <c r="D14" i="41"/>
  <c r="B4" i="42"/>
  <c r="C4" i="42"/>
  <c r="D4" i="42"/>
  <c r="E4" i="42"/>
  <c r="F4" i="42"/>
  <c r="B5" i="42"/>
  <c r="C5" i="42"/>
  <c r="D5" i="42"/>
  <c r="E5" i="42"/>
  <c r="F5" i="42"/>
  <c r="B6" i="42"/>
  <c r="C6" i="42"/>
  <c r="D6" i="42"/>
  <c r="E6" i="42"/>
  <c r="F6" i="42"/>
  <c r="B7" i="42"/>
  <c r="C7" i="42"/>
  <c r="D7" i="42"/>
  <c r="E7" i="42"/>
  <c r="F7" i="42"/>
  <c r="B8" i="42"/>
  <c r="C8" i="42"/>
  <c r="D8" i="42"/>
  <c r="E8" i="42"/>
  <c r="F8" i="42"/>
  <c r="B9" i="42"/>
  <c r="C9" i="42"/>
  <c r="D9" i="42"/>
  <c r="E9" i="42"/>
  <c r="F9" i="42"/>
  <c r="B10" i="42"/>
  <c r="C10" i="42"/>
  <c r="D10" i="42"/>
  <c r="E10" i="42"/>
  <c r="F10" i="42"/>
  <c r="B11" i="42"/>
  <c r="C11" i="42"/>
  <c r="D11" i="42"/>
  <c r="E11" i="42"/>
  <c r="F11" i="42"/>
  <c r="B12" i="42"/>
  <c r="C12" i="42"/>
  <c r="D12" i="42"/>
  <c r="E12" i="42"/>
  <c r="F12" i="42"/>
  <c r="B13" i="42"/>
  <c r="C13" i="42"/>
  <c r="D13" i="42"/>
  <c r="E13" i="42"/>
  <c r="F13" i="42"/>
  <c r="B14" i="42"/>
  <c r="C14" i="42"/>
  <c r="D14" i="42"/>
  <c r="E14" i="42"/>
  <c r="F14" i="42"/>
  <c r="B4" i="43"/>
  <c r="C4" i="43"/>
  <c r="D4" i="43"/>
  <c r="E4" i="43"/>
  <c r="F4" i="43"/>
  <c r="B5" i="43"/>
  <c r="C5" i="43"/>
  <c r="D5" i="43"/>
  <c r="E5" i="43"/>
  <c r="F5" i="43"/>
  <c r="B6" i="43"/>
  <c r="C6" i="43"/>
  <c r="D6" i="43"/>
  <c r="E6" i="43"/>
  <c r="F6" i="43"/>
  <c r="B7" i="43"/>
  <c r="C7" i="43"/>
  <c r="D7" i="43"/>
  <c r="E7" i="43"/>
  <c r="F7" i="43"/>
  <c r="B8" i="43"/>
  <c r="C8" i="43"/>
  <c r="D8" i="43"/>
  <c r="E8" i="43"/>
  <c r="F8" i="43"/>
  <c r="B9" i="43"/>
  <c r="C9" i="43"/>
  <c r="D9" i="43"/>
  <c r="E9" i="43"/>
  <c r="F9" i="43"/>
  <c r="B10" i="43"/>
  <c r="C10" i="43"/>
  <c r="D10" i="43"/>
  <c r="E10" i="43"/>
  <c r="F10" i="43"/>
  <c r="B11" i="43"/>
  <c r="C11" i="43"/>
  <c r="D11" i="43"/>
  <c r="E11" i="43"/>
  <c r="F11" i="43"/>
  <c r="B12" i="43"/>
  <c r="C12" i="43"/>
  <c r="D12" i="43"/>
  <c r="E12" i="43"/>
  <c r="F12" i="43"/>
  <c r="B13" i="43"/>
  <c r="C13" i="43"/>
  <c r="D13" i="43"/>
  <c r="E13" i="43"/>
  <c r="F13" i="43"/>
  <c r="B14" i="43"/>
  <c r="C14" i="43"/>
  <c r="D14" i="43"/>
  <c r="E14" i="43"/>
  <c r="F14" i="43"/>
  <c r="B4" i="44"/>
  <c r="C4" i="44"/>
  <c r="D4" i="44"/>
  <c r="E4" i="44"/>
  <c r="F4" i="44"/>
  <c r="B5" i="44"/>
  <c r="C5" i="44"/>
  <c r="D5" i="44"/>
  <c r="E5" i="44"/>
  <c r="F5" i="44"/>
  <c r="B6" i="44"/>
  <c r="C6" i="44"/>
  <c r="D6" i="44"/>
  <c r="E6" i="44"/>
  <c r="F6" i="44"/>
  <c r="B7" i="44"/>
  <c r="C7" i="44"/>
  <c r="D7" i="44"/>
  <c r="E7" i="44"/>
  <c r="F7" i="44"/>
  <c r="B8" i="44"/>
  <c r="C8" i="44"/>
  <c r="D8" i="44"/>
  <c r="E8" i="44"/>
  <c r="F8" i="44"/>
  <c r="B9" i="44"/>
  <c r="C9" i="44"/>
  <c r="D9" i="44"/>
  <c r="E9" i="44"/>
  <c r="F9" i="44"/>
  <c r="B10" i="44"/>
  <c r="C10" i="44"/>
  <c r="D10" i="44"/>
  <c r="E10" i="44"/>
  <c r="F10" i="44"/>
  <c r="B11" i="44"/>
  <c r="C11" i="44"/>
  <c r="D11" i="44"/>
  <c r="E11" i="44"/>
  <c r="F11" i="44"/>
  <c r="B12" i="44"/>
  <c r="C12" i="44"/>
  <c r="D12" i="44"/>
  <c r="E12" i="44"/>
  <c r="F12" i="44"/>
  <c r="B13" i="44"/>
  <c r="C13" i="44"/>
  <c r="D13" i="44"/>
  <c r="E13" i="44"/>
  <c r="F13" i="44"/>
  <c r="B14" i="44"/>
  <c r="C14" i="44"/>
  <c r="D14" i="44"/>
  <c r="E14" i="44"/>
  <c r="F14" i="44"/>
  <c r="B4" i="46"/>
  <c r="C4" i="46"/>
  <c r="D4" i="46"/>
  <c r="E4" i="46"/>
  <c r="F4" i="46"/>
  <c r="B5" i="46"/>
  <c r="C5" i="46"/>
  <c r="D5" i="46"/>
  <c r="E5" i="46"/>
  <c r="F5" i="46"/>
  <c r="B6" i="46"/>
  <c r="C6" i="46"/>
  <c r="D6" i="46"/>
  <c r="E6" i="46"/>
  <c r="F6" i="46"/>
  <c r="B7" i="46"/>
  <c r="C7" i="46"/>
  <c r="D7" i="46"/>
  <c r="E7" i="46"/>
  <c r="F7" i="46"/>
  <c r="B8" i="46"/>
  <c r="C8" i="46"/>
  <c r="D8" i="46"/>
  <c r="E8" i="46"/>
  <c r="F8" i="46"/>
  <c r="B9" i="46"/>
  <c r="C9" i="46"/>
  <c r="D9" i="46"/>
  <c r="E9" i="46"/>
  <c r="F9" i="46"/>
  <c r="B10" i="46"/>
  <c r="C10" i="46"/>
  <c r="D10" i="46"/>
  <c r="E10" i="46"/>
  <c r="F10" i="46"/>
  <c r="B11" i="46"/>
  <c r="C11" i="46"/>
  <c r="D11" i="46"/>
  <c r="E11" i="46"/>
  <c r="F11" i="46"/>
  <c r="B12" i="46"/>
  <c r="C12" i="46"/>
  <c r="D12" i="46"/>
  <c r="E12" i="46"/>
  <c r="F12" i="46"/>
  <c r="B13" i="46"/>
  <c r="C13" i="46"/>
  <c r="D13" i="46"/>
  <c r="E13" i="46"/>
  <c r="F13" i="46"/>
  <c r="B14" i="46"/>
  <c r="C14" i="46"/>
  <c r="D14" i="46"/>
  <c r="E14" i="46"/>
  <c r="F14" i="46"/>
  <c r="B4" i="47"/>
  <c r="C4" i="47"/>
  <c r="D4" i="47"/>
  <c r="E4" i="47"/>
  <c r="F4" i="47"/>
  <c r="B5" i="47"/>
  <c r="C5" i="47"/>
  <c r="D5" i="47"/>
  <c r="E5" i="47"/>
  <c r="F5" i="47"/>
  <c r="B6" i="47"/>
  <c r="C6" i="47"/>
  <c r="D6" i="47"/>
  <c r="E6" i="47"/>
  <c r="F6" i="47"/>
  <c r="B7" i="47"/>
  <c r="C7" i="47"/>
  <c r="D7" i="47"/>
  <c r="E7" i="47"/>
  <c r="F7" i="47"/>
  <c r="B8" i="47"/>
  <c r="C8" i="47"/>
  <c r="D8" i="47"/>
  <c r="E8" i="47"/>
  <c r="F8" i="47"/>
  <c r="B9" i="47"/>
  <c r="C9" i="47"/>
  <c r="D9" i="47"/>
  <c r="E9" i="47"/>
  <c r="F9" i="47"/>
  <c r="B10" i="47"/>
  <c r="C10" i="47"/>
  <c r="D10" i="47"/>
  <c r="E10" i="47"/>
  <c r="F10" i="47"/>
  <c r="B11" i="47"/>
  <c r="C11" i="47"/>
  <c r="D11" i="47"/>
  <c r="E11" i="47"/>
  <c r="F11" i="47"/>
  <c r="B12" i="47"/>
  <c r="C12" i="47"/>
  <c r="D12" i="47"/>
  <c r="E12" i="47"/>
  <c r="F12" i="47"/>
  <c r="B13" i="47"/>
  <c r="C13" i="47"/>
  <c r="D13" i="47"/>
  <c r="E13" i="47"/>
  <c r="F13" i="47"/>
  <c r="B14" i="47"/>
  <c r="C14" i="47"/>
  <c r="D14" i="47"/>
  <c r="E14" i="47"/>
  <c r="F14" i="47"/>
  <c r="B4" i="48"/>
  <c r="C4" i="48"/>
  <c r="D4" i="48"/>
  <c r="E4" i="48"/>
  <c r="F4" i="48"/>
  <c r="B5" i="48"/>
  <c r="C5" i="48"/>
  <c r="D5" i="48"/>
  <c r="E5" i="48"/>
  <c r="F5" i="48"/>
  <c r="B6" i="48"/>
  <c r="C6" i="48"/>
  <c r="D6" i="48"/>
  <c r="E6" i="48"/>
  <c r="F6" i="48"/>
  <c r="B7" i="48"/>
  <c r="C7" i="48"/>
  <c r="D7" i="48"/>
  <c r="E7" i="48"/>
  <c r="F7" i="48"/>
  <c r="B8" i="48"/>
  <c r="C8" i="48"/>
  <c r="D8" i="48"/>
  <c r="E8" i="48"/>
  <c r="F8" i="48"/>
  <c r="B9" i="48"/>
  <c r="C9" i="48"/>
  <c r="D9" i="48"/>
  <c r="E9" i="48"/>
  <c r="F9" i="48"/>
  <c r="B10" i="48"/>
  <c r="C10" i="48"/>
  <c r="D10" i="48"/>
  <c r="E10" i="48"/>
  <c r="F10" i="48"/>
  <c r="B11" i="48"/>
  <c r="C11" i="48"/>
  <c r="D11" i="48"/>
  <c r="E11" i="48"/>
  <c r="F11" i="48"/>
  <c r="B12" i="48"/>
  <c r="C12" i="48"/>
  <c r="D12" i="48"/>
  <c r="E12" i="48"/>
  <c r="F12" i="48"/>
  <c r="B13" i="48"/>
  <c r="C13" i="48"/>
  <c r="D13" i="48"/>
  <c r="E13" i="48"/>
  <c r="F13" i="48"/>
  <c r="B14" i="48"/>
  <c r="C14" i="48"/>
  <c r="D14" i="48"/>
  <c r="E14" i="48"/>
  <c r="F14" i="48"/>
  <c r="B5" i="49"/>
  <c r="C5" i="49"/>
  <c r="D5" i="49"/>
  <c r="E5" i="49"/>
  <c r="F5" i="49"/>
  <c r="B6" i="49"/>
  <c r="C6" i="49"/>
  <c r="D6" i="49"/>
  <c r="E6" i="49"/>
  <c r="F6" i="49"/>
  <c r="B7" i="49"/>
  <c r="C7" i="49"/>
  <c r="D7" i="49"/>
  <c r="E7" i="49"/>
  <c r="F7" i="49"/>
  <c r="B8" i="49"/>
  <c r="C8" i="49"/>
  <c r="D8" i="49"/>
  <c r="E8" i="49"/>
  <c r="F8" i="49"/>
  <c r="B9" i="49"/>
  <c r="C9" i="49"/>
  <c r="D9" i="49"/>
  <c r="E9" i="49"/>
  <c r="F9" i="49"/>
  <c r="B10" i="49"/>
  <c r="C10" i="49"/>
  <c r="D10" i="49"/>
  <c r="E10" i="49"/>
  <c r="F10" i="49"/>
  <c r="B11" i="49"/>
  <c r="C11" i="49"/>
  <c r="D11" i="49"/>
  <c r="E11" i="49"/>
  <c r="F11" i="49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4" i="65"/>
  <c r="C4" i="65"/>
  <c r="D4" i="65"/>
  <c r="E4" i="65"/>
  <c r="F4" i="65"/>
  <c r="B5" i="65"/>
  <c r="C5" i="65"/>
  <c r="D5" i="65"/>
  <c r="E5" i="65"/>
  <c r="F5" i="65"/>
  <c r="B6" i="65"/>
  <c r="C6" i="65"/>
  <c r="D6" i="65"/>
  <c r="E6" i="65"/>
  <c r="F6" i="65"/>
  <c r="B7" i="65"/>
  <c r="C7" i="65"/>
  <c r="D7" i="65"/>
  <c r="E7" i="65"/>
  <c r="F7" i="65"/>
  <c r="B8" i="65"/>
  <c r="C8" i="65"/>
  <c r="D8" i="65"/>
  <c r="E8" i="65"/>
  <c r="F8" i="65"/>
  <c r="B9" i="65"/>
  <c r="C9" i="65"/>
  <c r="D9" i="65"/>
  <c r="E9" i="65"/>
  <c r="F9" i="65"/>
  <c r="B10" i="65"/>
  <c r="C10" i="65"/>
  <c r="D10" i="65"/>
  <c r="E10" i="65"/>
  <c r="F10" i="65"/>
  <c r="B11" i="65"/>
  <c r="C11" i="65"/>
  <c r="D11" i="65"/>
  <c r="E11" i="65"/>
  <c r="F11" i="65"/>
  <c r="B12" i="65"/>
  <c r="C12" i="65"/>
  <c r="D12" i="65"/>
  <c r="E12" i="65"/>
  <c r="F12" i="65"/>
  <c r="B13" i="65"/>
  <c r="C13" i="65"/>
  <c r="D13" i="65"/>
  <c r="E13" i="65"/>
  <c r="F13" i="65"/>
  <c r="B14" i="65"/>
  <c r="C14" i="65"/>
  <c r="D14" i="65"/>
  <c r="E14" i="65"/>
  <c r="F14" i="65"/>
  <c r="B4" i="66"/>
  <c r="C4" i="66"/>
  <c r="D4" i="66"/>
  <c r="E4" i="66"/>
  <c r="F4" i="66"/>
  <c r="B5" i="66"/>
  <c r="C5" i="66"/>
  <c r="D5" i="66"/>
  <c r="E5" i="66"/>
  <c r="F5" i="66"/>
  <c r="B6" i="66"/>
  <c r="C6" i="66"/>
  <c r="D6" i="66"/>
  <c r="E6" i="66"/>
  <c r="F6" i="66"/>
  <c r="B7" i="66"/>
  <c r="C7" i="66"/>
  <c r="D7" i="66"/>
  <c r="E7" i="66"/>
  <c r="F7" i="66"/>
  <c r="B8" i="66"/>
  <c r="C8" i="66"/>
  <c r="D8" i="66"/>
  <c r="E8" i="66"/>
  <c r="F8" i="66"/>
  <c r="B9" i="66"/>
  <c r="C9" i="66"/>
  <c r="D9" i="66"/>
  <c r="E9" i="66"/>
  <c r="F9" i="66"/>
  <c r="B10" i="66"/>
  <c r="C10" i="66"/>
  <c r="D10" i="66"/>
  <c r="E10" i="66"/>
  <c r="F10" i="66"/>
  <c r="B11" i="66"/>
  <c r="C11" i="66"/>
  <c r="D11" i="66"/>
  <c r="E11" i="66"/>
  <c r="F11" i="66"/>
  <c r="B12" i="66"/>
  <c r="C12" i="66"/>
  <c r="D12" i="66"/>
  <c r="E12" i="66"/>
  <c r="F12" i="66"/>
  <c r="B13" i="66"/>
  <c r="C13" i="66"/>
  <c r="D13" i="66"/>
  <c r="E13" i="66"/>
  <c r="F13" i="66"/>
  <c r="B14" i="66"/>
  <c r="C14" i="66"/>
  <c r="D14" i="66"/>
  <c r="E14" i="66"/>
  <c r="F14" i="66"/>
  <c r="B4" i="67"/>
  <c r="C4" i="67"/>
  <c r="D4" i="67"/>
  <c r="E4" i="67"/>
  <c r="F4" i="67"/>
  <c r="B5" i="67"/>
  <c r="C5" i="67"/>
  <c r="D5" i="67"/>
  <c r="E5" i="67"/>
  <c r="F5" i="67"/>
  <c r="B6" i="67"/>
  <c r="C6" i="67"/>
  <c r="D6" i="67"/>
  <c r="E6" i="67"/>
  <c r="F6" i="67"/>
  <c r="B7" i="67"/>
  <c r="C7" i="67"/>
  <c r="D7" i="67"/>
  <c r="E7" i="67"/>
  <c r="F7" i="67"/>
  <c r="B8" i="67"/>
  <c r="C8" i="67"/>
  <c r="D8" i="67"/>
  <c r="E8" i="67"/>
  <c r="F8" i="67"/>
  <c r="B9" i="67"/>
  <c r="C9" i="67"/>
  <c r="D9" i="67"/>
  <c r="E9" i="67"/>
  <c r="F9" i="67"/>
  <c r="B10" i="67"/>
  <c r="C10" i="67"/>
  <c r="D10" i="67"/>
  <c r="E10" i="67"/>
  <c r="F10" i="67"/>
  <c r="B11" i="67"/>
  <c r="C11" i="67"/>
  <c r="D11" i="67"/>
  <c r="E11" i="67"/>
  <c r="F11" i="67"/>
  <c r="B12" i="67"/>
  <c r="C12" i="67"/>
  <c r="D12" i="67"/>
  <c r="E12" i="67"/>
  <c r="F12" i="67"/>
  <c r="B13" i="67"/>
  <c r="C13" i="67"/>
  <c r="D13" i="67"/>
  <c r="E13" i="67"/>
  <c r="F13" i="67"/>
  <c r="B14" i="67"/>
  <c r="C14" i="67"/>
  <c r="D14" i="67"/>
  <c r="E14" i="67"/>
  <c r="F14" i="67"/>
  <c r="B4" i="68"/>
  <c r="C4" i="68"/>
  <c r="D4" i="68"/>
  <c r="E4" i="68"/>
  <c r="F4" i="68"/>
  <c r="B5" i="68"/>
  <c r="C5" i="68"/>
  <c r="D5" i="68"/>
  <c r="E5" i="68"/>
  <c r="F5" i="68"/>
  <c r="B6" i="68"/>
  <c r="C6" i="68"/>
  <c r="D6" i="68"/>
  <c r="E6" i="68"/>
  <c r="F6" i="68"/>
  <c r="B7" i="68"/>
  <c r="C7" i="68"/>
  <c r="D7" i="68"/>
  <c r="E7" i="68"/>
  <c r="F7" i="68"/>
  <c r="B8" i="68"/>
  <c r="C8" i="68"/>
  <c r="D8" i="68"/>
  <c r="E8" i="68"/>
  <c r="F8" i="68"/>
  <c r="B9" i="68"/>
  <c r="C9" i="68"/>
  <c r="D9" i="68"/>
  <c r="E9" i="68"/>
  <c r="F9" i="68"/>
  <c r="B10" i="68"/>
  <c r="C10" i="68"/>
  <c r="D10" i="68"/>
  <c r="E10" i="68"/>
  <c r="F10" i="68"/>
  <c r="B11" i="68"/>
  <c r="C11" i="68"/>
  <c r="D11" i="68"/>
  <c r="E11" i="68"/>
  <c r="F11" i="68"/>
  <c r="B12" i="68"/>
  <c r="C12" i="68"/>
  <c r="D12" i="68"/>
  <c r="E12" i="68"/>
  <c r="F12" i="68"/>
  <c r="B13" i="68"/>
  <c r="C13" i="68"/>
  <c r="D13" i="68"/>
  <c r="E13" i="68"/>
  <c r="F13" i="68"/>
  <c r="B14" i="68"/>
  <c r="C14" i="68"/>
  <c r="D14" i="68"/>
  <c r="E14" i="68"/>
  <c r="F14" i="68"/>
  <c r="B4" i="69"/>
  <c r="C4" i="69"/>
  <c r="D4" i="69"/>
  <c r="E4" i="69"/>
  <c r="F4" i="69"/>
  <c r="B5" i="69"/>
  <c r="C5" i="69"/>
  <c r="D5" i="69"/>
  <c r="E5" i="69"/>
  <c r="F5" i="69"/>
  <c r="B6" i="69"/>
  <c r="C6" i="69"/>
  <c r="D6" i="69"/>
  <c r="E6" i="69"/>
  <c r="F6" i="69"/>
  <c r="B7" i="69"/>
  <c r="C7" i="69"/>
  <c r="D7" i="69"/>
  <c r="E7" i="69"/>
  <c r="F7" i="69"/>
  <c r="B8" i="69"/>
  <c r="C8" i="69"/>
  <c r="D8" i="69"/>
  <c r="E8" i="69"/>
  <c r="F8" i="69"/>
  <c r="B9" i="69"/>
  <c r="C9" i="69"/>
  <c r="D9" i="69"/>
  <c r="E9" i="69"/>
  <c r="F9" i="69"/>
  <c r="B10" i="69"/>
  <c r="C10" i="69"/>
  <c r="D10" i="69"/>
  <c r="E10" i="69"/>
  <c r="F10" i="69"/>
  <c r="B11" i="69"/>
  <c r="C11" i="69"/>
  <c r="D11" i="69"/>
  <c r="E11" i="69"/>
  <c r="F11" i="69"/>
  <c r="B12" i="69"/>
  <c r="C12" i="69"/>
  <c r="D12" i="69"/>
  <c r="E12" i="69"/>
  <c r="F12" i="69"/>
  <c r="B13" i="69"/>
  <c r="C13" i="69"/>
  <c r="D13" i="69"/>
  <c r="E13" i="69"/>
  <c r="F13" i="69"/>
  <c r="B14" i="69"/>
  <c r="C14" i="69"/>
  <c r="D14" i="69"/>
  <c r="E14" i="69"/>
  <c r="F14" i="69"/>
  <c r="B4" i="70"/>
  <c r="C4" i="70"/>
  <c r="D4" i="70"/>
  <c r="E4" i="70"/>
  <c r="F4" i="70"/>
  <c r="B5" i="70"/>
  <c r="C5" i="70"/>
  <c r="D5" i="70"/>
  <c r="E5" i="70"/>
  <c r="F5" i="70"/>
  <c r="B6" i="70"/>
  <c r="C6" i="70"/>
  <c r="D6" i="70"/>
  <c r="E6" i="70"/>
  <c r="F6" i="70"/>
  <c r="B7" i="70"/>
  <c r="C7" i="70"/>
  <c r="D7" i="70"/>
  <c r="E7" i="70"/>
  <c r="F7" i="70"/>
  <c r="B8" i="70"/>
  <c r="C8" i="70"/>
  <c r="D8" i="70"/>
  <c r="E8" i="70"/>
  <c r="F8" i="70"/>
  <c r="B9" i="70"/>
  <c r="C9" i="70"/>
  <c r="D9" i="70"/>
  <c r="E9" i="70"/>
  <c r="F9" i="70"/>
  <c r="B10" i="70"/>
  <c r="C10" i="70"/>
  <c r="D10" i="70"/>
  <c r="E10" i="70"/>
  <c r="F10" i="70"/>
  <c r="B11" i="70"/>
  <c r="C11" i="70"/>
  <c r="D11" i="70"/>
  <c r="E11" i="70"/>
  <c r="F11" i="70"/>
  <c r="B12" i="70"/>
  <c r="C12" i="70"/>
  <c r="D12" i="70"/>
  <c r="E12" i="70"/>
  <c r="F12" i="70"/>
  <c r="B13" i="70"/>
  <c r="C13" i="70"/>
  <c r="D13" i="70"/>
  <c r="E13" i="70"/>
  <c r="F13" i="70"/>
  <c r="B14" i="70"/>
  <c r="C14" i="70"/>
  <c r="D14" i="70"/>
  <c r="E14" i="70"/>
  <c r="F14" i="70"/>
  <c r="B4" i="77"/>
  <c r="C4" i="77"/>
  <c r="D4" i="77"/>
  <c r="E4" i="77"/>
  <c r="F4" i="77"/>
  <c r="B5" i="77"/>
  <c r="C5" i="77"/>
  <c r="D5" i="77"/>
  <c r="E5" i="77"/>
  <c r="F5" i="77"/>
  <c r="B6" i="77"/>
  <c r="C6" i="77"/>
  <c r="D6" i="77"/>
  <c r="E6" i="77"/>
  <c r="F6" i="77"/>
  <c r="B7" i="77"/>
  <c r="C7" i="77"/>
  <c r="D7" i="77"/>
  <c r="E7" i="77"/>
  <c r="F7" i="77"/>
  <c r="B8" i="77"/>
  <c r="C8" i="77"/>
  <c r="D8" i="77"/>
  <c r="E8" i="77"/>
  <c r="F8" i="77"/>
  <c r="B9" i="77"/>
  <c r="C9" i="77"/>
  <c r="D9" i="77"/>
  <c r="E9" i="77"/>
  <c r="F9" i="77"/>
  <c r="B10" i="77"/>
  <c r="C10" i="77"/>
  <c r="D10" i="77"/>
  <c r="E10" i="77"/>
  <c r="F10" i="77"/>
  <c r="B11" i="77"/>
  <c r="C11" i="77"/>
  <c r="D11" i="77"/>
  <c r="E11" i="77"/>
  <c r="F11" i="77"/>
  <c r="B12" i="77"/>
  <c r="C12" i="77"/>
  <c r="D12" i="77"/>
  <c r="E12" i="77"/>
  <c r="F12" i="77"/>
  <c r="B13" i="77"/>
  <c r="C13" i="77"/>
  <c r="D13" i="77"/>
  <c r="E13" i="77"/>
  <c r="F13" i="77"/>
  <c r="B14" i="77"/>
  <c r="C14" i="77"/>
  <c r="D14" i="77"/>
  <c r="E14" i="77"/>
  <c r="F14" i="77"/>
  <c r="E4" i="76"/>
  <c r="F4" i="76"/>
  <c r="E5" i="76"/>
  <c r="F5" i="76"/>
  <c r="E6" i="76"/>
  <c r="F6" i="76"/>
  <c r="E7" i="76"/>
  <c r="F7" i="76"/>
  <c r="E8" i="76"/>
  <c r="F8" i="76"/>
  <c r="E9" i="76"/>
  <c r="F9" i="76"/>
  <c r="E10" i="76"/>
  <c r="F10" i="76"/>
  <c r="E11" i="76"/>
  <c r="F11" i="76"/>
  <c r="E12" i="76"/>
  <c r="F12" i="76"/>
  <c r="E13" i="76"/>
  <c r="F13" i="76"/>
  <c r="E14" i="76"/>
  <c r="F14" i="76"/>
  <c r="B4" i="80"/>
  <c r="C4" i="80"/>
  <c r="D4" i="80"/>
  <c r="E4" i="80"/>
  <c r="F4" i="80"/>
  <c r="B5" i="80"/>
  <c r="C5" i="80"/>
  <c r="D5" i="80"/>
  <c r="E5" i="80"/>
  <c r="F5" i="80"/>
  <c r="B6" i="80"/>
  <c r="C6" i="80"/>
  <c r="D6" i="80"/>
  <c r="E6" i="80"/>
  <c r="F6" i="80"/>
  <c r="B7" i="80"/>
  <c r="C7" i="80"/>
  <c r="D7" i="80"/>
  <c r="E7" i="80"/>
  <c r="F7" i="80"/>
  <c r="B8" i="80"/>
  <c r="C8" i="80"/>
  <c r="D8" i="80"/>
  <c r="E8" i="80"/>
  <c r="F8" i="80"/>
  <c r="B9" i="80"/>
  <c r="C9" i="80"/>
  <c r="D9" i="80"/>
  <c r="E9" i="80"/>
  <c r="F9" i="80"/>
  <c r="B10" i="80"/>
  <c r="C10" i="80"/>
  <c r="D10" i="80"/>
  <c r="E10" i="80"/>
  <c r="F10" i="80"/>
  <c r="B11" i="80"/>
  <c r="C11" i="80"/>
  <c r="D11" i="80"/>
  <c r="E11" i="80"/>
  <c r="F11" i="80"/>
  <c r="B12" i="80"/>
  <c r="C12" i="80"/>
  <c r="D12" i="80"/>
  <c r="E12" i="80"/>
  <c r="F12" i="80"/>
  <c r="B13" i="80"/>
  <c r="C13" i="80"/>
  <c r="D13" i="80"/>
  <c r="E13" i="80"/>
  <c r="F13" i="80"/>
  <c r="B14" i="80"/>
  <c r="C14" i="80"/>
  <c r="D14" i="80"/>
  <c r="E14" i="80"/>
  <c r="F14" i="80"/>
  <c r="B4" i="79"/>
  <c r="C4" i="79"/>
  <c r="D4" i="79"/>
  <c r="E4" i="79"/>
  <c r="F4" i="79"/>
  <c r="B5" i="79"/>
  <c r="C5" i="79"/>
  <c r="D5" i="79"/>
  <c r="E5" i="79"/>
  <c r="F5" i="79"/>
  <c r="B6" i="79"/>
  <c r="C6" i="79"/>
  <c r="D6" i="79"/>
  <c r="E6" i="79"/>
  <c r="F6" i="79"/>
  <c r="B7" i="79"/>
  <c r="C7" i="79"/>
  <c r="D7" i="79"/>
  <c r="E7" i="79"/>
  <c r="F7" i="79"/>
  <c r="B8" i="79"/>
  <c r="C8" i="79"/>
  <c r="D8" i="79"/>
  <c r="E8" i="79"/>
  <c r="F8" i="79"/>
  <c r="B9" i="79"/>
  <c r="C9" i="79"/>
  <c r="D9" i="79"/>
  <c r="E9" i="79"/>
  <c r="F9" i="79"/>
  <c r="B10" i="79"/>
  <c r="C10" i="79"/>
  <c r="D10" i="79"/>
  <c r="E10" i="79"/>
  <c r="F10" i="79"/>
  <c r="B11" i="79"/>
  <c r="C11" i="79"/>
  <c r="D11" i="79"/>
  <c r="E11" i="79"/>
  <c r="F11" i="79"/>
  <c r="B12" i="79"/>
  <c r="C12" i="79"/>
  <c r="D12" i="79"/>
  <c r="E12" i="79"/>
  <c r="F12" i="79"/>
  <c r="B13" i="79"/>
  <c r="C13" i="79"/>
  <c r="D13" i="79"/>
  <c r="E13" i="79"/>
  <c r="F13" i="79"/>
  <c r="B14" i="79"/>
  <c r="C14" i="79"/>
  <c r="D14" i="79"/>
  <c r="E14" i="79"/>
  <c r="F14" i="79"/>
  <c r="B4" i="78"/>
  <c r="C4" i="78"/>
  <c r="D4" i="78"/>
  <c r="E4" i="78"/>
  <c r="F4" i="78"/>
  <c r="B5" i="78"/>
  <c r="C5" i="78"/>
  <c r="D5" i="78"/>
  <c r="E5" i="78"/>
  <c r="F5" i="78"/>
  <c r="B6" i="78"/>
  <c r="C6" i="78"/>
  <c r="D6" i="78"/>
  <c r="E6" i="78"/>
  <c r="F6" i="78"/>
  <c r="B7" i="78"/>
  <c r="C7" i="78"/>
  <c r="D7" i="78"/>
  <c r="E7" i="78"/>
  <c r="F7" i="78"/>
  <c r="B8" i="78"/>
  <c r="C8" i="78"/>
  <c r="D8" i="78"/>
  <c r="E8" i="78"/>
  <c r="F8" i="78"/>
  <c r="B9" i="78"/>
  <c r="C9" i="78"/>
  <c r="D9" i="78"/>
  <c r="E9" i="78"/>
  <c r="F9" i="78"/>
  <c r="B10" i="78"/>
  <c r="C10" i="78"/>
  <c r="D10" i="78"/>
  <c r="E10" i="78"/>
  <c r="F10" i="78"/>
  <c r="B11" i="78"/>
  <c r="C11" i="78"/>
  <c r="D11" i="78"/>
  <c r="E11" i="78"/>
  <c r="F11" i="78"/>
  <c r="B12" i="78"/>
  <c r="C12" i="78"/>
  <c r="D12" i="78"/>
  <c r="E12" i="78"/>
  <c r="F12" i="78"/>
  <c r="B13" i="78"/>
  <c r="C13" i="78"/>
  <c r="D13" i="78"/>
  <c r="E13" i="78"/>
  <c r="F13" i="78"/>
  <c r="B14" i="78"/>
  <c r="C14" i="78"/>
  <c r="D14" i="78"/>
  <c r="E14" i="78"/>
  <c r="F14" i="78"/>
  <c r="B4" i="81"/>
  <c r="C4" i="81"/>
  <c r="D4" i="81"/>
  <c r="E4" i="81"/>
  <c r="F4" i="81"/>
  <c r="B5" i="81"/>
  <c r="C5" i="81"/>
  <c r="D5" i="81"/>
  <c r="E5" i="81"/>
  <c r="F5" i="81"/>
  <c r="B6" i="81"/>
  <c r="C6" i="81"/>
  <c r="D6" i="81"/>
  <c r="E6" i="81"/>
  <c r="F6" i="81"/>
  <c r="B7" i="81"/>
  <c r="C7" i="81"/>
  <c r="D7" i="81"/>
  <c r="E7" i="81"/>
  <c r="F7" i="81"/>
  <c r="B8" i="81"/>
  <c r="C8" i="81"/>
  <c r="D8" i="81"/>
  <c r="E8" i="81"/>
  <c r="F8" i="81"/>
  <c r="B9" i="81"/>
  <c r="C9" i="81"/>
  <c r="D9" i="81"/>
  <c r="E9" i="81"/>
  <c r="F9" i="81"/>
  <c r="B10" i="81"/>
  <c r="C10" i="81"/>
  <c r="D10" i="81"/>
  <c r="E10" i="81"/>
  <c r="F10" i="81"/>
  <c r="B11" i="81"/>
  <c r="C11" i="81"/>
  <c r="D11" i="81"/>
  <c r="E11" i="81"/>
  <c r="F11" i="81"/>
  <c r="B12" i="81"/>
  <c r="C12" i="81"/>
  <c r="D12" i="81"/>
  <c r="E12" i="81"/>
  <c r="F12" i="81"/>
  <c r="B13" i="81"/>
  <c r="C13" i="81"/>
  <c r="D13" i="81"/>
  <c r="E13" i="81"/>
  <c r="F13" i="81"/>
  <c r="B14" i="81"/>
  <c r="C14" i="81"/>
  <c r="D14" i="81"/>
  <c r="E14" i="81"/>
  <c r="F14" i="81"/>
  <c r="C4" i="64"/>
  <c r="C5" i="64"/>
  <c r="C6" i="64"/>
  <c r="C7" i="64"/>
  <c r="C8" i="64"/>
  <c r="C9" i="64"/>
  <c r="C10" i="64"/>
  <c r="C11" i="64"/>
  <c r="C12" i="64"/>
  <c r="C13" i="64"/>
  <c r="C14" i="64"/>
  <c r="C3" i="62"/>
  <c r="Q233" i="2"/>
  <c r="F4" i="4"/>
  <c r="F5" i="4"/>
  <c r="F6" i="4"/>
  <c r="F7" i="4"/>
  <c r="F8" i="4"/>
  <c r="F9" i="4"/>
  <c r="F10" i="4"/>
  <c r="F11" i="4"/>
  <c r="F12" i="4"/>
  <c r="F13" i="4"/>
  <c r="F14" i="4"/>
  <c r="E4" i="4"/>
  <c r="E5" i="4"/>
  <c r="E6" i="4"/>
  <c r="E7" i="4"/>
  <c r="E8" i="4"/>
  <c r="E9" i="4"/>
  <c r="E10" i="4"/>
  <c r="E11" i="4"/>
  <c r="E12" i="4"/>
  <c r="E13" i="4"/>
  <c r="E14" i="4"/>
  <c r="D4" i="4"/>
  <c r="D5" i="4"/>
  <c r="D6" i="4"/>
  <c r="D7" i="4"/>
  <c r="D8" i="4"/>
  <c r="D9" i="4"/>
  <c r="D10" i="4"/>
  <c r="D11" i="4"/>
  <c r="D12" i="4"/>
  <c r="D13" i="4"/>
  <c r="D14" i="4"/>
  <c r="C4" i="4"/>
  <c r="C5" i="4"/>
  <c r="C6" i="4"/>
  <c r="C7" i="4"/>
  <c r="C8" i="4"/>
  <c r="C9" i="4"/>
  <c r="C10" i="4"/>
  <c r="C11" i="4"/>
  <c r="C12" i="4"/>
  <c r="C13" i="4"/>
  <c r="C14" i="4"/>
  <c r="B4" i="4"/>
  <c r="B5" i="4"/>
  <c r="B6" i="4"/>
  <c r="B7" i="4"/>
  <c r="B8" i="4"/>
  <c r="B9" i="4"/>
  <c r="B10" i="4"/>
  <c r="B11" i="4"/>
  <c r="B12" i="4"/>
  <c r="B13" i="4"/>
  <c r="B14" i="4"/>
  <c r="F4" i="86"/>
  <c r="F5" i="86"/>
  <c r="F6" i="86"/>
  <c r="F7" i="86"/>
  <c r="F8" i="86"/>
  <c r="F9" i="86"/>
  <c r="F10" i="86"/>
  <c r="F11" i="86"/>
  <c r="F12" i="86"/>
  <c r="F13" i="86"/>
  <c r="F14" i="86"/>
  <c r="E4" i="86"/>
  <c r="E5" i="86"/>
  <c r="E6" i="86"/>
  <c r="E7" i="86"/>
  <c r="E8" i="86"/>
  <c r="E9" i="86"/>
  <c r="E10" i="86"/>
  <c r="E11" i="86"/>
  <c r="E12" i="86"/>
  <c r="E13" i="86"/>
  <c r="E14" i="86"/>
  <c r="D4" i="86"/>
  <c r="D5" i="86"/>
  <c r="D6" i="86"/>
  <c r="D7" i="86"/>
  <c r="D8" i="86"/>
  <c r="D9" i="86"/>
  <c r="D10" i="86"/>
  <c r="D11" i="86"/>
  <c r="D12" i="86"/>
  <c r="D13" i="86"/>
  <c r="D14" i="86"/>
  <c r="C4" i="86"/>
  <c r="C5" i="86"/>
  <c r="C6" i="86"/>
  <c r="C7" i="86"/>
  <c r="C8" i="86"/>
  <c r="C9" i="86"/>
  <c r="C10" i="86"/>
  <c r="C11" i="86"/>
  <c r="C12" i="86"/>
  <c r="C13" i="86"/>
  <c r="C14" i="86"/>
  <c r="B4" i="86"/>
  <c r="B5" i="86"/>
  <c r="B6" i="86"/>
  <c r="B7" i="86"/>
  <c r="B8" i="86"/>
  <c r="B9" i="86"/>
  <c r="B10" i="86"/>
  <c r="B11" i="86"/>
  <c r="B12" i="86"/>
  <c r="B13" i="86"/>
  <c r="B14" i="86"/>
  <c r="D3" i="87"/>
  <c r="D3" i="10"/>
  <c r="F4" i="19"/>
  <c r="F5" i="19"/>
  <c r="F6" i="19"/>
  <c r="F7" i="19"/>
  <c r="F8" i="19"/>
  <c r="F9" i="19"/>
  <c r="F10" i="19"/>
  <c r="F11" i="19"/>
  <c r="F12" i="19"/>
  <c r="F13" i="19"/>
  <c r="F14" i="19"/>
  <c r="E4" i="19"/>
  <c r="E5" i="19"/>
  <c r="E6" i="19"/>
  <c r="E7" i="19"/>
  <c r="E8" i="19"/>
  <c r="E9" i="19"/>
  <c r="E10" i="19"/>
  <c r="E11" i="19"/>
  <c r="E12" i="19"/>
  <c r="E13" i="19"/>
  <c r="E14" i="19"/>
  <c r="D4" i="19"/>
  <c r="D5" i="19"/>
  <c r="D6" i="19"/>
  <c r="D7" i="19"/>
  <c r="D8" i="19"/>
  <c r="D9" i="19"/>
  <c r="D10" i="19"/>
  <c r="D11" i="19"/>
  <c r="D12" i="19"/>
  <c r="D13" i="19"/>
  <c r="D14" i="19"/>
  <c r="C4" i="19"/>
  <c r="C5" i="19"/>
  <c r="C6" i="19"/>
  <c r="C7" i="19"/>
  <c r="C8" i="19"/>
  <c r="C9" i="19"/>
  <c r="C10" i="19"/>
  <c r="C11" i="19"/>
  <c r="C12" i="19"/>
  <c r="C13" i="19"/>
  <c r="C14" i="19"/>
  <c r="B4" i="19"/>
  <c r="B5" i="19"/>
  <c r="B6" i="19"/>
  <c r="B7" i="19"/>
  <c r="B8" i="19"/>
  <c r="B9" i="19"/>
  <c r="B10" i="19"/>
  <c r="B11" i="19"/>
  <c r="B12" i="19"/>
  <c r="B13" i="19"/>
  <c r="B14" i="19"/>
  <c r="F4" i="21"/>
  <c r="F5" i="21"/>
  <c r="F6" i="21"/>
  <c r="F7" i="21"/>
  <c r="F8" i="21"/>
  <c r="F9" i="21"/>
  <c r="F10" i="21"/>
  <c r="F11" i="21"/>
  <c r="F12" i="21"/>
  <c r="F13" i="21"/>
  <c r="F14" i="21"/>
  <c r="E4" i="21"/>
  <c r="E5" i="21"/>
  <c r="E6" i="21"/>
  <c r="E7" i="21"/>
  <c r="E8" i="21"/>
  <c r="E9" i="21"/>
  <c r="E10" i="21"/>
  <c r="E11" i="21"/>
  <c r="E12" i="21"/>
  <c r="E13" i="21"/>
  <c r="E14" i="21"/>
  <c r="D4" i="21"/>
  <c r="D5" i="21"/>
  <c r="D6" i="21"/>
  <c r="D7" i="21"/>
  <c r="D8" i="21"/>
  <c r="D9" i="21"/>
  <c r="D10" i="21"/>
  <c r="D11" i="21"/>
  <c r="D12" i="21"/>
  <c r="D13" i="21"/>
  <c r="D14" i="21"/>
  <c r="C4" i="21"/>
  <c r="C5" i="21"/>
  <c r="C6" i="21"/>
  <c r="C7" i="21"/>
  <c r="C8" i="21"/>
  <c r="C9" i="21"/>
  <c r="C10" i="21"/>
  <c r="C11" i="21"/>
  <c r="C12" i="21"/>
  <c r="C13" i="21"/>
  <c r="C14" i="21"/>
  <c r="B4" i="21"/>
  <c r="B5" i="21"/>
  <c r="B6" i="21"/>
  <c r="B7" i="21"/>
  <c r="B8" i="21"/>
  <c r="B9" i="21"/>
  <c r="B10" i="21"/>
  <c r="B11" i="21"/>
  <c r="B12" i="21"/>
  <c r="B13" i="21"/>
  <c r="B14" i="21"/>
  <c r="F3" i="22"/>
  <c r="E3" i="22"/>
  <c r="B3" i="22"/>
  <c r="C3" i="22"/>
  <c r="F4" i="26"/>
  <c r="F5" i="26"/>
  <c r="F6" i="26"/>
  <c r="F7" i="26"/>
  <c r="F8" i="26"/>
  <c r="F9" i="26"/>
  <c r="F10" i="26"/>
  <c r="F11" i="26"/>
  <c r="F12" i="26"/>
  <c r="F13" i="26"/>
  <c r="F14" i="26"/>
  <c r="E4" i="26"/>
  <c r="E5" i="26"/>
  <c r="E6" i="26"/>
  <c r="E7" i="26"/>
  <c r="E8" i="26"/>
  <c r="E9" i="26"/>
  <c r="E10" i="26"/>
  <c r="E11" i="26"/>
  <c r="E12" i="26"/>
  <c r="E13" i="26"/>
  <c r="E14" i="26"/>
  <c r="D4" i="26"/>
  <c r="D5" i="26"/>
  <c r="D6" i="26"/>
  <c r="D7" i="26"/>
  <c r="D8" i="26"/>
  <c r="D9" i="26"/>
  <c r="D10" i="26"/>
  <c r="D11" i="26"/>
  <c r="D12" i="26"/>
  <c r="D13" i="26"/>
  <c r="D14" i="26"/>
  <c r="C4" i="26"/>
  <c r="C5" i="26"/>
  <c r="C6" i="26"/>
  <c r="C7" i="26"/>
  <c r="C8" i="26"/>
  <c r="C9" i="26"/>
  <c r="C10" i="26"/>
  <c r="C11" i="26"/>
  <c r="C12" i="26"/>
  <c r="C13" i="26"/>
  <c r="C14" i="26"/>
  <c r="B4" i="26"/>
  <c r="B5" i="26"/>
  <c r="B6" i="26"/>
  <c r="B7" i="26"/>
  <c r="B8" i="26"/>
  <c r="B9" i="26"/>
  <c r="B10" i="26"/>
  <c r="B11" i="26"/>
  <c r="B12" i="26"/>
  <c r="B13" i="26"/>
  <c r="B14" i="26"/>
  <c r="F4" i="32"/>
  <c r="F5" i="32"/>
  <c r="F6" i="32"/>
  <c r="F7" i="32"/>
  <c r="F8" i="32"/>
  <c r="F9" i="32"/>
  <c r="F10" i="32"/>
  <c r="F11" i="32"/>
  <c r="F12" i="32"/>
  <c r="F13" i="32"/>
  <c r="F14" i="32"/>
  <c r="E4" i="32"/>
  <c r="E5" i="32"/>
  <c r="E6" i="32"/>
  <c r="E7" i="32"/>
  <c r="E8" i="32"/>
  <c r="E9" i="32"/>
  <c r="E10" i="32"/>
  <c r="E11" i="32"/>
  <c r="E12" i="32"/>
  <c r="E13" i="32"/>
  <c r="E14" i="32"/>
  <c r="D4" i="32"/>
  <c r="D5" i="32"/>
  <c r="D6" i="32"/>
  <c r="D7" i="32"/>
  <c r="D8" i="32"/>
  <c r="D9" i="32"/>
  <c r="D10" i="32"/>
  <c r="D11" i="32"/>
  <c r="D12" i="32"/>
  <c r="D13" i="32"/>
  <c r="D14" i="32"/>
  <c r="C4" i="32"/>
  <c r="C5" i="32"/>
  <c r="C6" i="32"/>
  <c r="C7" i="32"/>
  <c r="C8" i="32"/>
  <c r="C9" i="32"/>
  <c r="C10" i="32"/>
  <c r="C11" i="32"/>
  <c r="C12" i="32"/>
  <c r="C13" i="32"/>
  <c r="C14" i="32"/>
  <c r="B4" i="32"/>
  <c r="B5" i="32"/>
  <c r="B6" i="32"/>
  <c r="B7" i="32"/>
  <c r="B8" i="32"/>
  <c r="B9" i="32"/>
  <c r="B10" i="32"/>
  <c r="B11" i="32"/>
  <c r="B12" i="32"/>
  <c r="B13" i="32"/>
  <c r="B14" i="32"/>
  <c r="F4" i="33"/>
  <c r="F5" i="33"/>
  <c r="F6" i="33"/>
  <c r="F7" i="33"/>
  <c r="F8" i="33"/>
  <c r="F9" i="33"/>
  <c r="F10" i="33"/>
  <c r="F11" i="33"/>
  <c r="F12" i="33"/>
  <c r="F13" i="33"/>
  <c r="F14" i="33"/>
  <c r="E4" i="33"/>
  <c r="E5" i="33"/>
  <c r="E6" i="33"/>
  <c r="E7" i="33"/>
  <c r="E8" i="33"/>
  <c r="E9" i="33"/>
  <c r="E10" i="33"/>
  <c r="E11" i="33"/>
  <c r="E12" i="33"/>
  <c r="E13" i="33"/>
  <c r="E14" i="33"/>
  <c r="D4" i="33"/>
  <c r="D5" i="33"/>
  <c r="D6" i="33"/>
  <c r="D7" i="33"/>
  <c r="D8" i="33"/>
  <c r="D9" i="33"/>
  <c r="D10" i="33"/>
  <c r="D11" i="33"/>
  <c r="D12" i="33"/>
  <c r="D13" i="33"/>
  <c r="D14" i="33"/>
  <c r="C4" i="33"/>
  <c r="C5" i="33"/>
  <c r="C6" i="33"/>
  <c r="C7" i="33"/>
  <c r="C8" i="33"/>
  <c r="C9" i="33"/>
  <c r="C10" i="33"/>
  <c r="C11" i="33"/>
  <c r="C12" i="33"/>
  <c r="C13" i="33"/>
  <c r="C14" i="33"/>
  <c r="B4" i="33"/>
  <c r="B5" i="33"/>
  <c r="B6" i="33"/>
  <c r="B7" i="33"/>
  <c r="B8" i="33"/>
  <c r="B9" i="33"/>
  <c r="B10" i="33"/>
  <c r="B11" i="33"/>
  <c r="B12" i="33"/>
  <c r="B13" i="33"/>
  <c r="B14" i="33"/>
  <c r="F3" i="37"/>
  <c r="E3" i="37"/>
  <c r="E3" i="41"/>
  <c r="E3" i="46"/>
  <c r="F4" i="45"/>
  <c r="F5" i="45"/>
  <c r="F6" i="45"/>
  <c r="F7" i="45"/>
  <c r="F8" i="45"/>
  <c r="F9" i="45"/>
  <c r="F10" i="45"/>
  <c r="F11" i="45"/>
  <c r="E4" i="45"/>
  <c r="E5" i="45"/>
  <c r="E6" i="45"/>
  <c r="E7" i="45"/>
  <c r="E8" i="45"/>
  <c r="E9" i="45"/>
  <c r="E10" i="45"/>
  <c r="E11" i="45"/>
  <c r="D4" i="45"/>
  <c r="D5" i="45"/>
  <c r="D6" i="45"/>
  <c r="D7" i="45"/>
  <c r="D8" i="45"/>
  <c r="D9" i="45"/>
  <c r="D10" i="45"/>
  <c r="D11" i="45"/>
  <c r="C4" i="45"/>
  <c r="C5" i="45"/>
  <c r="C6" i="45"/>
  <c r="C7" i="45"/>
  <c r="C8" i="45"/>
  <c r="C9" i="45"/>
  <c r="C10" i="45"/>
  <c r="C11" i="45"/>
  <c r="B4" i="45"/>
  <c r="B5" i="45"/>
  <c r="B6" i="45"/>
  <c r="B7" i="45"/>
  <c r="B8" i="45"/>
  <c r="B9" i="45"/>
  <c r="B10" i="45"/>
  <c r="B11" i="45"/>
  <c r="B3" i="48"/>
  <c r="D4" i="49"/>
  <c r="C4" i="49"/>
  <c r="B4" i="49"/>
  <c r="B4" i="85"/>
  <c r="C4" i="85"/>
  <c r="D4" i="85"/>
  <c r="E4" i="85"/>
  <c r="F4" i="85"/>
  <c r="B5" i="85"/>
  <c r="C5" i="85"/>
  <c r="D5" i="85"/>
  <c r="E5" i="85"/>
  <c r="F5" i="85"/>
  <c r="B6" i="85"/>
  <c r="C6" i="85"/>
  <c r="D6" i="85"/>
  <c r="E6" i="85"/>
  <c r="F6" i="85"/>
  <c r="B7" i="85"/>
  <c r="C7" i="85"/>
  <c r="D7" i="85"/>
  <c r="E7" i="85"/>
  <c r="F7" i="85"/>
  <c r="B8" i="85"/>
  <c r="C8" i="85"/>
  <c r="D8" i="85"/>
  <c r="E8" i="85"/>
  <c r="F8" i="85"/>
  <c r="B9" i="85"/>
  <c r="C9" i="85"/>
  <c r="D9" i="85"/>
  <c r="E9" i="85"/>
  <c r="F9" i="85"/>
  <c r="B10" i="85"/>
  <c r="C10" i="85"/>
  <c r="D10" i="85"/>
  <c r="E10" i="85"/>
  <c r="F10" i="85"/>
  <c r="B11" i="85"/>
  <c r="C11" i="85"/>
  <c r="D11" i="85"/>
  <c r="E11" i="85"/>
  <c r="F11" i="85"/>
  <c r="B12" i="85"/>
  <c r="C12" i="85"/>
  <c r="D12" i="85"/>
  <c r="E12" i="85"/>
  <c r="F12" i="85"/>
  <c r="B13" i="85"/>
  <c r="C13" i="85"/>
  <c r="D13" i="85"/>
  <c r="E13" i="85"/>
  <c r="F13" i="85"/>
  <c r="B14" i="85"/>
  <c r="C14" i="85"/>
  <c r="D14" i="85"/>
  <c r="E14" i="85"/>
  <c r="F14" i="85"/>
  <c r="D3" i="65"/>
  <c r="C3" i="65"/>
  <c r="C3" i="68"/>
  <c r="D3" i="69"/>
  <c r="F4" i="73"/>
  <c r="F5" i="73"/>
  <c r="F6" i="73"/>
  <c r="F7" i="73"/>
  <c r="F8" i="73"/>
  <c r="F9" i="73"/>
  <c r="F10" i="73"/>
  <c r="F11" i="73"/>
  <c r="F12" i="73"/>
  <c r="F13" i="73"/>
  <c r="F14" i="73"/>
  <c r="E4" i="73"/>
  <c r="E5" i="73"/>
  <c r="E6" i="73"/>
  <c r="E7" i="73"/>
  <c r="E8" i="73"/>
  <c r="E9" i="73"/>
  <c r="E10" i="73"/>
  <c r="E11" i="73"/>
  <c r="E12" i="73"/>
  <c r="E13" i="73"/>
  <c r="E14" i="73"/>
  <c r="D4" i="73"/>
  <c r="D5" i="73"/>
  <c r="D6" i="73"/>
  <c r="D7" i="73"/>
  <c r="D8" i="73"/>
  <c r="D9" i="73"/>
  <c r="D10" i="73"/>
  <c r="D11" i="73"/>
  <c r="D12" i="73"/>
  <c r="D13" i="73"/>
  <c r="D14" i="73"/>
  <c r="C4" i="73"/>
  <c r="C5" i="73"/>
  <c r="C6" i="73"/>
  <c r="C7" i="73"/>
  <c r="C8" i="73"/>
  <c r="C9" i="73"/>
  <c r="C10" i="73"/>
  <c r="C11" i="73"/>
  <c r="C12" i="73"/>
  <c r="C13" i="73"/>
  <c r="C14" i="73"/>
  <c r="B4" i="73"/>
  <c r="B5" i="73"/>
  <c r="B6" i="73"/>
  <c r="B7" i="73"/>
  <c r="B8" i="73"/>
  <c r="B9" i="73"/>
  <c r="B10" i="73"/>
  <c r="B11" i="73"/>
  <c r="B12" i="73"/>
  <c r="B13" i="73"/>
  <c r="B14" i="73"/>
  <c r="F4" i="72"/>
  <c r="F5" i="72"/>
  <c r="F6" i="72"/>
  <c r="F7" i="72"/>
  <c r="F8" i="72"/>
  <c r="F9" i="72"/>
  <c r="F10" i="72"/>
  <c r="F11" i="72"/>
  <c r="F12" i="72"/>
  <c r="F13" i="72"/>
  <c r="F14" i="72"/>
  <c r="E4" i="72"/>
  <c r="E5" i="72"/>
  <c r="E6" i="72"/>
  <c r="E7" i="72"/>
  <c r="E8" i="72"/>
  <c r="E9" i="72"/>
  <c r="E10" i="72"/>
  <c r="E11" i="72"/>
  <c r="E12" i="72"/>
  <c r="E13" i="72"/>
  <c r="E14" i="72"/>
  <c r="D4" i="72"/>
  <c r="D5" i="72"/>
  <c r="D6" i="72"/>
  <c r="D7" i="72"/>
  <c r="D8" i="72"/>
  <c r="D9" i="72"/>
  <c r="D10" i="72"/>
  <c r="D11" i="72"/>
  <c r="D12" i="72"/>
  <c r="D13" i="72"/>
  <c r="D14" i="72"/>
  <c r="C4" i="72"/>
  <c r="C5" i="72"/>
  <c r="C6" i="72"/>
  <c r="C7" i="72"/>
  <c r="C8" i="72"/>
  <c r="C9" i="72"/>
  <c r="C10" i="72"/>
  <c r="C11" i="72"/>
  <c r="C12" i="72"/>
  <c r="C13" i="72"/>
  <c r="C14" i="72"/>
  <c r="B4" i="72"/>
  <c r="B5" i="72"/>
  <c r="B6" i="72"/>
  <c r="B7" i="72"/>
  <c r="B8" i="72"/>
  <c r="B9" i="72"/>
  <c r="B10" i="72"/>
  <c r="B11" i="72"/>
  <c r="B12" i="72"/>
  <c r="B13" i="72"/>
  <c r="B14" i="72"/>
  <c r="F4" i="71"/>
  <c r="F5" i="71"/>
  <c r="F6" i="71"/>
  <c r="F7" i="71"/>
  <c r="F8" i="71"/>
  <c r="F9" i="71"/>
  <c r="F10" i="71"/>
  <c r="F11" i="71"/>
  <c r="F12" i="71"/>
  <c r="F13" i="71"/>
  <c r="F14" i="71"/>
  <c r="E4" i="71"/>
  <c r="E5" i="71"/>
  <c r="E6" i="71"/>
  <c r="E7" i="71"/>
  <c r="E8" i="71"/>
  <c r="E9" i="71"/>
  <c r="E10" i="71"/>
  <c r="E11" i="71"/>
  <c r="E12" i="71"/>
  <c r="E13" i="71"/>
  <c r="E14" i="71"/>
  <c r="D4" i="71"/>
  <c r="D5" i="71"/>
  <c r="D6" i="71"/>
  <c r="D7" i="71"/>
  <c r="D8" i="71"/>
  <c r="D9" i="71"/>
  <c r="D10" i="71"/>
  <c r="D11" i="71"/>
  <c r="D12" i="71"/>
  <c r="D13" i="71"/>
  <c r="D14" i="71"/>
  <c r="C4" i="71"/>
  <c r="C5" i="71"/>
  <c r="C6" i="71"/>
  <c r="C7" i="71"/>
  <c r="C8" i="71"/>
  <c r="C9" i="71"/>
  <c r="C10" i="71"/>
  <c r="C11" i="71"/>
  <c r="C12" i="71"/>
  <c r="C13" i="71"/>
  <c r="C14" i="71"/>
  <c r="B4" i="71"/>
  <c r="B5" i="71"/>
  <c r="B6" i="71"/>
  <c r="B7" i="71"/>
  <c r="B8" i="71"/>
  <c r="B9" i="71"/>
  <c r="B10" i="71"/>
  <c r="B11" i="71"/>
  <c r="B12" i="71"/>
  <c r="B13" i="71"/>
  <c r="B14" i="71"/>
  <c r="F4" i="74"/>
  <c r="F5" i="74"/>
  <c r="F6" i="74"/>
  <c r="F7" i="74"/>
  <c r="F8" i="74"/>
  <c r="F9" i="74"/>
  <c r="F10" i="74"/>
  <c r="F11" i="74"/>
  <c r="F12" i="74"/>
  <c r="F13" i="74"/>
  <c r="F14" i="74"/>
  <c r="E4" i="74"/>
  <c r="E5" i="74"/>
  <c r="E6" i="74"/>
  <c r="E7" i="74"/>
  <c r="E8" i="74"/>
  <c r="E9" i="74"/>
  <c r="E10" i="74"/>
  <c r="E11" i="74"/>
  <c r="E12" i="74"/>
  <c r="E13" i="74"/>
  <c r="E14" i="74"/>
  <c r="D4" i="74"/>
  <c r="D5" i="74"/>
  <c r="D6" i="74"/>
  <c r="D7" i="74"/>
  <c r="D8" i="74"/>
  <c r="D9" i="74"/>
  <c r="D10" i="74"/>
  <c r="D11" i="74"/>
  <c r="D12" i="74"/>
  <c r="D13" i="74"/>
  <c r="D14" i="74"/>
  <c r="C4" i="74"/>
  <c r="C5" i="74"/>
  <c r="C6" i="74"/>
  <c r="C7" i="74"/>
  <c r="C8" i="74"/>
  <c r="C9" i="74"/>
  <c r="C10" i="74"/>
  <c r="C11" i="74"/>
  <c r="C12" i="74"/>
  <c r="C13" i="74"/>
  <c r="C14" i="74"/>
  <c r="B4" i="74"/>
  <c r="B5" i="74"/>
  <c r="B6" i="74"/>
  <c r="B7" i="74"/>
  <c r="B8" i="74"/>
  <c r="B9" i="74"/>
  <c r="B10" i="74"/>
  <c r="B11" i="74"/>
  <c r="B12" i="74"/>
  <c r="B13" i="74"/>
  <c r="B14" i="74"/>
  <c r="F4" i="75"/>
  <c r="F5" i="75"/>
  <c r="F6" i="75"/>
  <c r="F7" i="75"/>
  <c r="F8" i="75"/>
  <c r="F9" i="75"/>
  <c r="F10" i="75"/>
  <c r="F11" i="75"/>
  <c r="F12" i="75"/>
  <c r="F13" i="75"/>
  <c r="F14" i="75"/>
  <c r="E4" i="75"/>
  <c r="E5" i="75"/>
  <c r="E6" i="75"/>
  <c r="E7" i="75"/>
  <c r="E8" i="75"/>
  <c r="E9" i="75"/>
  <c r="E10" i="75"/>
  <c r="E11" i="75"/>
  <c r="E12" i="75"/>
  <c r="E13" i="75"/>
  <c r="E14" i="75"/>
  <c r="D4" i="75"/>
  <c r="D5" i="75"/>
  <c r="D6" i="75"/>
  <c r="D7" i="75"/>
  <c r="D8" i="75"/>
  <c r="D9" i="75"/>
  <c r="D10" i="75"/>
  <c r="D11" i="75"/>
  <c r="D12" i="75"/>
  <c r="D13" i="75"/>
  <c r="D14" i="75"/>
  <c r="C4" i="75"/>
  <c r="C5" i="75"/>
  <c r="C6" i="75"/>
  <c r="C7" i="75"/>
  <c r="C8" i="75"/>
  <c r="C9" i="75"/>
  <c r="C10" i="75"/>
  <c r="C11" i="75"/>
  <c r="C12" i="75"/>
  <c r="C13" i="75"/>
  <c r="C14" i="75"/>
  <c r="B4" i="75"/>
  <c r="B5" i="75"/>
  <c r="B6" i="75"/>
  <c r="B7" i="75"/>
  <c r="B8" i="75"/>
  <c r="B9" i="75"/>
  <c r="B10" i="75"/>
  <c r="B11" i="75"/>
  <c r="B12" i="75"/>
  <c r="B13" i="75"/>
  <c r="B14" i="75"/>
  <c r="D4" i="76"/>
  <c r="D5" i="76"/>
  <c r="D6" i="76"/>
  <c r="D7" i="76"/>
  <c r="D8" i="76"/>
  <c r="D9" i="76"/>
  <c r="D10" i="76"/>
  <c r="D11" i="76"/>
  <c r="D12" i="76"/>
  <c r="D13" i="76"/>
  <c r="D14" i="76"/>
  <c r="C4" i="76"/>
  <c r="C5" i="76"/>
  <c r="C6" i="76"/>
  <c r="C7" i="76"/>
  <c r="C8" i="76"/>
  <c r="C9" i="76"/>
  <c r="C10" i="76"/>
  <c r="C11" i="76"/>
  <c r="C12" i="76"/>
  <c r="C13" i="76"/>
  <c r="C14" i="76"/>
  <c r="B4" i="76"/>
  <c r="B5" i="76"/>
  <c r="B6" i="76"/>
  <c r="B7" i="76"/>
  <c r="B8" i="76"/>
  <c r="B9" i="76"/>
  <c r="B10" i="76"/>
  <c r="B11" i="76"/>
  <c r="B12" i="76"/>
  <c r="B13" i="76"/>
  <c r="B14" i="76"/>
  <c r="B3" i="80"/>
  <c r="F4" i="82"/>
  <c r="F5" i="82"/>
  <c r="F6" i="82"/>
  <c r="F7" i="82"/>
  <c r="F8" i="82"/>
  <c r="F9" i="82"/>
  <c r="F10" i="82"/>
  <c r="F11" i="82"/>
  <c r="F12" i="82"/>
  <c r="F13" i="82"/>
  <c r="F14" i="82"/>
  <c r="E4" i="82"/>
  <c r="E5" i="82"/>
  <c r="E6" i="82"/>
  <c r="E7" i="82"/>
  <c r="E8" i="82"/>
  <c r="E9" i="82"/>
  <c r="E10" i="82"/>
  <c r="E11" i="82"/>
  <c r="E12" i="82"/>
  <c r="E13" i="82"/>
  <c r="E14" i="82"/>
  <c r="E3" i="82"/>
  <c r="F3" i="82"/>
  <c r="D4" i="82"/>
  <c r="D5" i="82"/>
  <c r="D6" i="82"/>
  <c r="D7" i="82"/>
  <c r="D8" i="82"/>
  <c r="D9" i="82"/>
  <c r="D10" i="82"/>
  <c r="D11" i="82"/>
  <c r="D12" i="82"/>
  <c r="D13" i="82"/>
  <c r="D14" i="82"/>
  <c r="C4" i="82"/>
  <c r="C5" i="82"/>
  <c r="C6" i="82"/>
  <c r="C7" i="82"/>
  <c r="C8" i="82"/>
  <c r="C9" i="82"/>
  <c r="C10" i="82"/>
  <c r="C11" i="82"/>
  <c r="C12" i="82"/>
  <c r="C13" i="82"/>
  <c r="C14" i="82"/>
  <c r="B4" i="82"/>
  <c r="B5" i="82"/>
  <c r="B6" i="82"/>
  <c r="B7" i="82"/>
  <c r="B8" i="82"/>
  <c r="B9" i="82"/>
  <c r="B10" i="82"/>
  <c r="B11" i="82"/>
  <c r="B12" i="82"/>
  <c r="B13" i="82"/>
  <c r="B14" i="82"/>
  <c r="F4" i="83"/>
  <c r="F5" i="83"/>
  <c r="F6" i="83"/>
  <c r="F7" i="83"/>
  <c r="F8" i="83"/>
  <c r="F9" i="83"/>
  <c r="F10" i="83"/>
  <c r="F11" i="83"/>
  <c r="F12" i="83"/>
  <c r="F13" i="83"/>
  <c r="F14" i="83"/>
  <c r="E4" i="83"/>
  <c r="E5" i="83"/>
  <c r="E6" i="83"/>
  <c r="E7" i="83"/>
  <c r="E8" i="83"/>
  <c r="E9" i="83"/>
  <c r="E10" i="83"/>
  <c r="E11" i="83"/>
  <c r="E12" i="83"/>
  <c r="E13" i="83"/>
  <c r="E14" i="83"/>
  <c r="D4" i="83"/>
  <c r="D5" i="83"/>
  <c r="D6" i="83"/>
  <c r="D7" i="83"/>
  <c r="D8" i="83"/>
  <c r="D9" i="83"/>
  <c r="D10" i="83"/>
  <c r="D11" i="83"/>
  <c r="D12" i="83"/>
  <c r="D13" i="83"/>
  <c r="D14" i="83"/>
  <c r="C4" i="83"/>
  <c r="C5" i="83"/>
  <c r="C6" i="83"/>
  <c r="C7" i="83"/>
  <c r="C8" i="83"/>
  <c r="C9" i="83"/>
  <c r="C10" i="83"/>
  <c r="C11" i="83"/>
  <c r="C12" i="83"/>
  <c r="C13" i="83"/>
  <c r="C14" i="83"/>
  <c r="B4" i="83"/>
  <c r="B5" i="83"/>
  <c r="B6" i="83"/>
  <c r="B7" i="83"/>
  <c r="B8" i="83"/>
  <c r="B9" i="83"/>
  <c r="B10" i="83"/>
  <c r="B11" i="83"/>
  <c r="B12" i="83"/>
  <c r="B13" i="83"/>
  <c r="B14" i="83"/>
  <c r="F3" i="62"/>
  <c r="E3" i="62"/>
  <c r="B3" i="62"/>
  <c r="F4" i="63"/>
  <c r="F5" i="63"/>
  <c r="F6" i="63"/>
  <c r="F7" i="63"/>
  <c r="F8" i="63"/>
  <c r="F9" i="63"/>
  <c r="F10" i="63"/>
  <c r="F11" i="63"/>
  <c r="F12" i="63"/>
  <c r="F13" i="63"/>
  <c r="F14" i="63"/>
  <c r="F3" i="63"/>
  <c r="E14" i="63"/>
  <c r="E4" i="63"/>
  <c r="E5" i="63"/>
  <c r="E6" i="63"/>
  <c r="E7" i="63"/>
  <c r="E8" i="63"/>
  <c r="E9" i="63"/>
  <c r="E10" i="63"/>
  <c r="E11" i="63"/>
  <c r="E12" i="63"/>
  <c r="E13" i="63"/>
  <c r="E3" i="63"/>
  <c r="D14" i="63"/>
  <c r="D4" i="63"/>
  <c r="D5" i="63"/>
  <c r="D6" i="63"/>
  <c r="D7" i="63"/>
  <c r="D8" i="63"/>
  <c r="D9" i="63"/>
  <c r="D10" i="63"/>
  <c r="D11" i="63"/>
  <c r="D12" i="63"/>
  <c r="D13" i="63"/>
  <c r="D3" i="63"/>
  <c r="C14" i="63"/>
  <c r="C4" i="63"/>
  <c r="C5" i="63"/>
  <c r="C6" i="63"/>
  <c r="C7" i="63"/>
  <c r="C8" i="63"/>
  <c r="C9" i="63"/>
  <c r="C10" i="63"/>
  <c r="C11" i="63"/>
  <c r="C12" i="63"/>
  <c r="C13" i="63"/>
  <c r="C3" i="63"/>
  <c r="B14" i="63"/>
  <c r="B4" i="63"/>
  <c r="B5" i="63"/>
  <c r="B6" i="63"/>
  <c r="B7" i="63"/>
  <c r="B8" i="63"/>
  <c r="B9" i="63"/>
  <c r="B10" i="63"/>
  <c r="B11" i="63"/>
  <c r="B12" i="63"/>
  <c r="B13" i="63"/>
  <c r="B3" i="63"/>
  <c r="F4" i="64"/>
  <c r="F5" i="64"/>
  <c r="F6" i="64"/>
  <c r="F7" i="64"/>
  <c r="F8" i="64"/>
  <c r="F9" i="64"/>
  <c r="F10" i="64"/>
  <c r="F11" i="64"/>
  <c r="F12" i="64"/>
  <c r="F13" i="64"/>
  <c r="F14" i="64"/>
  <c r="F3" i="64"/>
  <c r="E14" i="64"/>
  <c r="E4" i="64"/>
  <c r="E5" i="64"/>
  <c r="E6" i="64"/>
  <c r="E7" i="64"/>
  <c r="E8" i="64"/>
  <c r="E9" i="64"/>
  <c r="E10" i="64"/>
  <c r="E11" i="64"/>
  <c r="E12" i="64"/>
  <c r="E13" i="64"/>
  <c r="E3" i="64"/>
  <c r="D14" i="64"/>
  <c r="D4" i="64"/>
  <c r="D5" i="64"/>
  <c r="D6" i="64"/>
  <c r="D7" i="64"/>
  <c r="D8" i="64"/>
  <c r="D9" i="64"/>
  <c r="D10" i="64"/>
  <c r="D11" i="64"/>
  <c r="D12" i="64"/>
  <c r="D13" i="64"/>
  <c r="D3" i="64"/>
  <c r="C3" i="64"/>
  <c r="B14" i="64"/>
  <c r="B4" i="64"/>
  <c r="B5" i="64"/>
  <c r="B6" i="64"/>
  <c r="B7" i="64"/>
  <c r="B8" i="64"/>
  <c r="B9" i="64"/>
  <c r="B10" i="64"/>
  <c r="B11" i="64"/>
  <c r="B12" i="64"/>
  <c r="B13" i="64"/>
  <c r="B3" i="64"/>
  <c r="F3" i="83"/>
  <c r="E3" i="83"/>
  <c r="D3" i="83"/>
  <c r="C3" i="83"/>
  <c r="B3" i="83"/>
  <c r="D3" i="82"/>
  <c r="C3" i="82"/>
  <c r="B3" i="82"/>
  <c r="F3" i="81"/>
  <c r="E3" i="81"/>
  <c r="D3" i="81"/>
  <c r="C3" i="81"/>
  <c r="B3" i="81"/>
  <c r="F3" i="79"/>
  <c r="E3" i="79"/>
  <c r="D3" i="79"/>
  <c r="C3" i="79"/>
  <c r="B3" i="79"/>
  <c r="F3" i="80"/>
  <c r="E3" i="80"/>
  <c r="D3" i="80"/>
  <c r="C3" i="80"/>
  <c r="F3" i="78"/>
  <c r="E3" i="78"/>
  <c r="D3" i="78"/>
  <c r="C3" i="78"/>
  <c r="B3" i="78"/>
  <c r="F3" i="76"/>
  <c r="E3" i="76"/>
  <c r="D3" i="76"/>
  <c r="C3" i="76"/>
  <c r="B3" i="76"/>
  <c r="F3" i="75"/>
  <c r="E3" i="75"/>
  <c r="D3" i="75"/>
  <c r="C3" i="75"/>
  <c r="B3" i="75"/>
  <c r="F3" i="77"/>
  <c r="E3" i="77"/>
  <c r="D3" i="77"/>
  <c r="C3" i="77"/>
  <c r="B3" i="77"/>
  <c r="F3" i="74"/>
  <c r="E3" i="74"/>
  <c r="D3" i="74"/>
  <c r="C3" i="74"/>
  <c r="B3" i="74"/>
  <c r="F3" i="71"/>
  <c r="E3" i="71"/>
  <c r="D3" i="71"/>
  <c r="C3" i="71"/>
  <c r="B3" i="71"/>
  <c r="F3" i="72"/>
  <c r="E3" i="72"/>
  <c r="D3" i="72"/>
  <c r="C3" i="72"/>
  <c r="B3" i="72"/>
  <c r="F3" i="73"/>
  <c r="E3" i="73"/>
  <c r="D3" i="73"/>
  <c r="C3" i="73"/>
  <c r="B3" i="73"/>
  <c r="F3" i="70"/>
  <c r="E3" i="70"/>
  <c r="D3" i="70"/>
  <c r="C3" i="70"/>
  <c r="B3" i="70"/>
  <c r="F3" i="69"/>
  <c r="E3" i="69"/>
  <c r="C3" i="69"/>
  <c r="B3" i="69"/>
  <c r="F3" i="68"/>
  <c r="E3" i="68"/>
  <c r="D3" i="68"/>
  <c r="B3" i="68"/>
  <c r="F3" i="67"/>
  <c r="E3" i="67"/>
  <c r="D3" i="67"/>
  <c r="C3" i="67"/>
  <c r="B3" i="67"/>
  <c r="F3" i="66"/>
  <c r="E3" i="66"/>
  <c r="D3" i="66"/>
  <c r="C3" i="66"/>
  <c r="B3" i="66"/>
  <c r="F3" i="65"/>
  <c r="E3" i="65"/>
  <c r="B3" i="65"/>
  <c r="F3" i="85"/>
  <c r="E3" i="85"/>
  <c r="D3" i="85"/>
  <c r="C3" i="85"/>
  <c r="B3" i="85"/>
  <c r="F4" i="49"/>
  <c r="E4" i="49"/>
  <c r="F3" i="48"/>
  <c r="E3" i="48"/>
  <c r="D3" i="48"/>
  <c r="C3" i="48"/>
  <c r="F3" i="47"/>
  <c r="E3" i="47"/>
  <c r="D3" i="47"/>
  <c r="C3" i="47"/>
  <c r="B3" i="47"/>
  <c r="F3" i="46"/>
  <c r="D3" i="46"/>
  <c r="C3" i="46"/>
  <c r="B3" i="46"/>
  <c r="F3" i="44"/>
  <c r="E3" i="44"/>
  <c r="D3" i="44"/>
  <c r="C3" i="44"/>
  <c r="B3" i="44"/>
  <c r="F3" i="43"/>
  <c r="E3" i="43"/>
  <c r="D3" i="43"/>
  <c r="C3" i="43"/>
  <c r="B3" i="43"/>
  <c r="F3" i="42"/>
  <c r="E3" i="42"/>
  <c r="D3" i="42"/>
  <c r="C3" i="42"/>
  <c r="B3" i="42"/>
  <c r="D3" i="41"/>
  <c r="C3" i="41"/>
  <c r="B3" i="41"/>
  <c r="F3" i="40"/>
  <c r="E3" i="40"/>
  <c r="D3" i="40"/>
  <c r="C3" i="40"/>
  <c r="B3" i="40"/>
  <c r="F3" i="39"/>
  <c r="E3" i="39"/>
  <c r="D3" i="39"/>
  <c r="C3" i="39"/>
  <c r="B3" i="39"/>
  <c r="F3" i="38"/>
  <c r="E3" i="38"/>
  <c r="D3" i="38"/>
  <c r="C3" i="38"/>
  <c r="B3" i="38"/>
  <c r="D3" i="37"/>
  <c r="C3" i="37"/>
  <c r="B3" i="37"/>
  <c r="F3" i="93"/>
  <c r="E3" i="93"/>
  <c r="D3" i="93"/>
  <c r="C3" i="93"/>
  <c r="B3" i="93"/>
  <c r="F3" i="36"/>
  <c r="E3" i="36"/>
  <c r="D3" i="36"/>
  <c r="C3" i="36"/>
  <c r="B3" i="36"/>
  <c r="F3" i="35"/>
  <c r="E3" i="35"/>
  <c r="D3" i="35"/>
  <c r="C3" i="35"/>
  <c r="B3" i="35"/>
  <c r="F3" i="34"/>
  <c r="E3" i="34"/>
  <c r="D3" i="34"/>
  <c r="C3" i="34"/>
  <c r="B3" i="34"/>
  <c r="F3" i="33"/>
  <c r="E3" i="33"/>
  <c r="D3" i="33"/>
  <c r="C3" i="33"/>
  <c r="B3" i="33"/>
  <c r="F3" i="32"/>
  <c r="E3" i="32"/>
  <c r="D3" i="32"/>
  <c r="C3" i="32"/>
  <c r="B3" i="32"/>
  <c r="F3" i="92"/>
  <c r="E3" i="92"/>
  <c r="D3" i="92"/>
  <c r="C3" i="92"/>
  <c r="B3" i="92"/>
  <c r="F3" i="30"/>
  <c r="E3" i="30"/>
  <c r="D3" i="30"/>
  <c r="C3" i="30"/>
  <c r="B3" i="30"/>
  <c r="F3" i="29"/>
  <c r="E3" i="29"/>
  <c r="D3" i="29"/>
  <c r="C3" i="29"/>
  <c r="B3" i="29"/>
  <c r="F3" i="28"/>
  <c r="E3" i="28"/>
  <c r="D3" i="28"/>
  <c r="C3" i="28"/>
  <c r="B3" i="28"/>
  <c r="F3" i="27"/>
  <c r="E3" i="27"/>
  <c r="D3" i="27"/>
  <c r="C3" i="27"/>
  <c r="B3" i="27"/>
  <c r="F3" i="26"/>
  <c r="E3" i="26"/>
  <c r="D3" i="26"/>
  <c r="C3" i="26"/>
  <c r="B3" i="26"/>
  <c r="D3" i="22"/>
  <c r="F3" i="21"/>
  <c r="E3" i="21"/>
  <c r="D3" i="21"/>
  <c r="C3" i="21"/>
  <c r="B3" i="21"/>
  <c r="F3" i="20"/>
  <c r="E3" i="20"/>
  <c r="D3" i="20"/>
  <c r="C3" i="20"/>
  <c r="B3" i="20"/>
  <c r="F3" i="19"/>
  <c r="E3" i="19"/>
  <c r="D3" i="19"/>
  <c r="C3" i="19"/>
  <c r="B3" i="19"/>
  <c r="F3" i="17"/>
  <c r="E3" i="17"/>
  <c r="D3" i="17"/>
  <c r="C3" i="17"/>
  <c r="B3" i="17"/>
  <c r="F3" i="91"/>
  <c r="E3" i="91"/>
  <c r="D3" i="91"/>
  <c r="C3" i="91"/>
  <c r="B3" i="91"/>
  <c r="F3" i="90"/>
  <c r="E3" i="90"/>
  <c r="D3" i="90"/>
  <c r="C3" i="90"/>
  <c r="B3" i="90"/>
  <c r="F3" i="16"/>
  <c r="E3" i="16"/>
  <c r="D3" i="16"/>
  <c r="C3" i="16"/>
  <c r="B3" i="16"/>
  <c r="F3" i="15"/>
  <c r="E3" i="15"/>
  <c r="D3" i="15"/>
  <c r="C3" i="15"/>
  <c r="B3" i="15"/>
  <c r="F3" i="14"/>
  <c r="E3" i="14"/>
  <c r="D3" i="14"/>
  <c r="C3" i="14"/>
  <c r="B3" i="14"/>
  <c r="F3" i="13"/>
  <c r="E3" i="13"/>
  <c r="D3" i="13"/>
  <c r="C3" i="13"/>
  <c r="B3" i="13"/>
  <c r="F3" i="12"/>
  <c r="E3" i="12"/>
  <c r="D3" i="12"/>
  <c r="C3" i="12"/>
  <c r="B3" i="12"/>
  <c r="F3" i="11"/>
  <c r="E3" i="11"/>
  <c r="D3" i="11"/>
  <c r="C3" i="11"/>
  <c r="B3" i="11"/>
  <c r="F3" i="10"/>
  <c r="E3" i="10"/>
  <c r="C3" i="10"/>
  <c r="B3" i="10"/>
  <c r="F3" i="9"/>
  <c r="E3" i="9"/>
  <c r="D3" i="9"/>
  <c r="C3" i="9"/>
  <c r="B3" i="9"/>
  <c r="F3" i="8"/>
  <c r="E3" i="8"/>
  <c r="D3" i="8"/>
  <c r="C3" i="8"/>
  <c r="B3" i="8"/>
  <c r="F3" i="7"/>
  <c r="E3" i="7"/>
  <c r="D3" i="7"/>
  <c r="C3" i="7"/>
  <c r="B3" i="7"/>
  <c r="F3" i="89"/>
  <c r="E3" i="89"/>
  <c r="D3" i="89"/>
  <c r="C3" i="89"/>
  <c r="B3" i="89"/>
  <c r="F3" i="88"/>
  <c r="E3" i="88"/>
  <c r="D3" i="88"/>
  <c r="C3" i="88"/>
  <c r="B3" i="88"/>
  <c r="F3" i="84"/>
  <c r="E3" i="84"/>
  <c r="D3" i="84"/>
  <c r="C3" i="84"/>
  <c r="B3" i="84"/>
  <c r="F3" i="6"/>
  <c r="E3" i="6"/>
  <c r="D3" i="6"/>
  <c r="C3" i="6"/>
  <c r="B3" i="6"/>
  <c r="F3" i="87"/>
  <c r="E3" i="87"/>
  <c r="C3" i="87"/>
  <c r="B3" i="87"/>
  <c r="F3" i="86"/>
  <c r="E3" i="86"/>
  <c r="D3" i="86"/>
  <c r="C3" i="86"/>
  <c r="B3" i="86"/>
  <c r="F3" i="4"/>
  <c r="E3" i="4"/>
  <c r="D3" i="4"/>
  <c r="C3" i="4"/>
  <c r="B3" i="4"/>
  <c r="T157" i="2"/>
  <c r="AC233" i="2"/>
  <c r="AB233" i="2"/>
  <c r="E80" i="2"/>
  <c r="N52" i="50"/>
  <c r="N53" i="50"/>
  <c r="N54" i="50"/>
  <c r="N55" i="50"/>
  <c r="N56" i="50"/>
  <c r="N57" i="50"/>
  <c r="N51" i="50"/>
  <c r="P21" i="50"/>
  <c r="O21" i="50"/>
  <c r="I23" i="50"/>
  <c r="J23" i="50"/>
  <c r="H157" i="2"/>
  <c r="F3" i="45"/>
  <c r="E3" i="45"/>
  <c r="D3" i="45"/>
  <c r="C3" i="45"/>
  <c r="B3" i="45"/>
  <c r="V233" i="2"/>
  <c r="W233" i="2"/>
  <c r="X233" i="2"/>
  <c r="T233" i="2"/>
  <c r="U233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U157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D48" i="50"/>
  <c r="C48" i="50"/>
  <c r="N25" i="50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W157" i="2"/>
  <c r="I233" i="2"/>
  <c r="G233" i="2"/>
  <c r="AJ233" i="2"/>
  <c r="AI233" i="2"/>
  <c r="AH233" i="2"/>
  <c r="E233" i="2"/>
  <c r="F233" i="2"/>
  <c r="H233" i="2"/>
  <c r="J233" i="2"/>
  <c r="K233" i="2"/>
  <c r="L233" i="2"/>
  <c r="M233" i="2"/>
  <c r="N233" i="2"/>
  <c r="O233" i="2"/>
  <c r="P233" i="2"/>
  <c r="R233" i="2"/>
  <c r="S233" i="2"/>
  <c r="Y233" i="2"/>
  <c r="Z233" i="2"/>
  <c r="AA233" i="2"/>
  <c r="AD233" i="2"/>
  <c r="AE233" i="2"/>
  <c r="AF233" i="2"/>
  <c r="AG233" i="2"/>
  <c r="V157" i="2"/>
  <c r="S157" i="2"/>
  <c r="R157" i="2"/>
  <c r="Q157" i="2"/>
  <c r="P157" i="2"/>
  <c r="O157" i="2"/>
  <c r="N157" i="2"/>
  <c r="M157" i="2"/>
  <c r="L157" i="2"/>
  <c r="K157" i="2"/>
  <c r="J157" i="2"/>
  <c r="I157" i="2"/>
  <c r="G157" i="2"/>
  <c r="F157" i="2"/>
  <c r="E157" i="2"/>
  <c r="L32" i="3"/>
  <c r="L31" i="3"/>
  <c r="L30" i="3"/>
  <c r="L29" i="3"/>
  <c r="L27" i="3"/>
  <c r="O25" i="50"/>
  <c r="N59" i="50"/>
</calcChain>
</file>

<file path=xl/sharedStrings.xml><?xml version="1.0" encoding="utf-8"?>
<sst xmlns="http://schemas.openxmlformats.org/spreadsheetml/2006/main" count="3711" uniqueCount="788">
  <si>
    <t> </t>
  </si>
  <si>
    <t>KAT : 0</t>
  </si>
  <si>
    <t>KAT : 1</t>
  </si>
  <si>
    <t>KAT : 2</t>
  </si>
  <si>
    <t>SINIF KODU</t>
  </si>
  <si>
    <t>SINIF KAPASİTESİ</t>
  </si>
  <si>
    <t>ÖĞRENCİ KAPASİTESİ</t>
  </si>
  <si>
    <t>L 002</t>
  </si>
  <si>
    <t>Film/stüd.</t>
  </si>
  <si>
    <t>C 101</t>
  </si>
  <si>
    <t>Duruşma Salonu</t>
  </si>
  <si>
    <t>HF</t>
  </si>
  <si>
    <t>C 208</t>
  </si>
  <si>
    <t>Hazırlık Okulu</t>
  </si>
  <si>
    <t>C 003</t>
  </si>
  <si>
    <t>DİJİTAL MED LAB</t>
  </si>
  <si>
    <t>GSTF</t>
  </si>
  <si>
    <t>C 102</t>
  </si>
  <si>
    <t>C 213</t>
  </si>
  <si>
    <t>C 005</t>
  </si>
  <si>
    <t>Müzik</t>
  </si>
  <si>
    <t>C 103</t>
  </si>
  <si>
    <t>PSY LAB</t>
  </si>
  <si>
    <t>İTBF</t>
  </si>
  <si>
    <t>C 214</t>
  </si>
  <si>
    <t>C 006</t>
  </si>
  <si>
    <t>C 104</t>
  </si>
  <si>
    <t>C 215</t>
  </si>
  <si>
    <t>C 007</t>
  </si>
  <si>
    <t>İ/M STD1</t>
  </si>
  <si>
    <t>C 109</t>
  </si>
  <si>
    <t>C 220</t>
  </si>
  <si>
    <t>L 008</t>
  </si>
  <si>
    <t>M/T Lab</t>
  </si>
  <si>
    <t>C 113</t>
  </si>
  <si>
    <t>C 221</t>
  </si>
  <si>
    <t>C 012</t>
  </si>
  <si>
    <t>İ/M STD2</t>
  </si>
  <si>
    <t>C 114</t>
  </si>
  <si>
    <t>C 222</t>
  </si>
  <si>
    <t>C 013</t>
  </si>
  <si>
    <t>İ/M STD3</t>
  </si>
  <si>
    <t>L 115</t>
  </si>
  <si>
    <t>BİLG 4</t>
  </si>
  <si>
    <t>C 229</t>
  </si>
  <si>
    <t>C 017</t>
  </si>
  <si>
    <t>MMF</t>
  </si>
  <si>
    <t>L 121</t>
  </si>
  <si>
    <t>BIL LAB</t>
  </si>
  <si>
    <t>MMF-Lab</t>
  </si>
  <si>
    <t>C 230</t>
  </si>
  <si>
    <t>C 018</t>
  </si>
  <si>
    <t>C 122</t>
  </si>
  <si>
    <t>C 231</t>
  </si>
  <si>
    <t>C 025</t>
  </si>
  <si>
    <t xml:space="preserve">C 123 </t>
  </si>
  <si>
    <t>C 232</t>
  </si>
  <si>
    <t>C 026</t>
  </si>
  <si>
    <t>C 130</t>
  </si>
  <si>
    <t xml:space="preserve">C 233 </t>
  </si>
  <si>
    <t>C 027</t>
  </si>
  <si>
    <t>ITBF</t>
  </si>
  <si>
    <t>C 131</t>
  </si>
  <si>
    <t>AMFİ4</t>
  </si>
  <si>
    <t>C 034</t>
  </si>
  <si>
    <t>C 132</t>
  </si>
  <si>
    <t>AMFİ3</t>
  </si>
  <si>
    <t>HUK</t>
  </si>
  <si>
    <t>C 035</t>
  </si>
  <si>
    <t>L 139</t>
  </si>
  <si>
    <t>SHGM Sınav
Merkezi</t>
  </si>
  <si>
    <t>AMFİ2</t>
  </si>
  <si>
    <t>C 036</t>
  </si>
  <si>
    <t>L 140</t>
  </si>
  <si>
    <t>Elk./Eln. Lab</t>
  </si>
  <si>
    <t>AMFİ1</t>
  </si>
  <si>
    <t>L 037</t>
  </si>
  <si>
    <t>İHA-LAB</t>
  </si>
  <si>
    <t>MYO</t>
  </si>
  <si>
    <t>L 141</t>
  </si>
  <si>
    <t>Bilg.Lab-2</t>
  </si>
  <si>
    <t>AMFİ 5</t>
  </si>
  <si>
    <t>ANK</t>
  </si>
  <si>
    <t>C 053</t>
  </si>
  <si>
    <t>L 142</t>
  </si>
  <si>
    <t>Bilg.Lab-3</t>
  </si>
  <si>
    <t>C 054</t>
  </si>
  <si>
    <t>L 143</t>
  </si>
  <si>
    <t>Fizik Lab</t>
  </si>
  <si>
    <t>C 055</t>
  </si>
  <si>
    <t>C 056</t>
  </si>
  <si>
    <t>BİLG 5</t>
  </si>
  <si>
    <t>Snf.Kap.</t>
  </si>
  <si>
    <t>Öğr.Kap.</t>
  </si>
  <si>
    <t>LECTURE HALL 5</t>
  </si>
  <si>
    <t xml:space="preserve">TOPLAM </t>
  </si>
  <si>
    <t>LECTURE HALL 6</t>
  </si>
  <si>
    <t>LECTURE HALL 7</t>
  </si>
  <si>
    <t>C 060</t>
  </si>
  <si>
    <t>C 063</t>
  </si>
  <si>
    <t>COM. LAB</t>
  </si>
  <si>
    <t>C 070</t>
  </si>
  <si>
    <t>C071</t>
  </si>
  <si>
    <t>C 072</t>
  </si>
  <si>
    <t>C 073</t>
  </si>
  <si>
    <t>C 074</t>
  </si>
  <si>
    <t>C 075</t>
  </si>
  <si>
    <t>C 076</t>
  </si>
  <si>
    <t>C 077</t>
  </si>
  <si>
    <t>C 078</t>
  </si>
  <si>
    <t>C 084</t>
  </si>
  <si>
    <t>C 085</t>
  </si>
  <si>
    <t>C 086</t>
  </si>
  <si>
    <t>C 087</t>
  </si>
  <si>
    <t>C 088</t>
  </si>
  <si>
    <t>C 089</t>
  </si>
  <si>
    <t>LAB</t>
  </si>
  <si>
    <t>C 090</t>
  </si>
  <si>
    <t>C 091</t>
  </si>
  <si>
    <t>PROJE</t>
  </si>
  <si>
    <t>C 092</t>
  </si>
  <si>
    <t>Ders Planlama Esasları</t>
  </si>
  <si>
    <t>1. Sabah 09.00 – Akşam 18.00 arası 9 saat olacak şekilde planlama yapılacaktır</t>
  </si>
  <si>
    <t>2. Dersler 09.00-11.40, 12.20-15.00, 15.20-18.00 olacak şekilde 3’er saatlik ve boşluk olmadan planlanacaktır.</t>
  </si>
  <si>
    <t>3. İnkılap Tarihi ve ATA dersleri cumartesi sabah olacak şekilde planlanacaktır.</t>
  </si>
  <si>
    <t>4. Cuma saat 12.00-14.00 arasına ders planlanmayacaktır</t>
  </si>
  <si>
    <t>5. Her ders 50 dakikadır</t>
  </si>
  <si>
    <t>6. Hazırlık okulu günde 10 saat olacak şekilde planlama yapacaktır</t>
  </si>
  <si>
    <t xml:space="preserve">7. Dönem içinde yapılacak değişiklikler Rektör yardımcısı ile koordine edilerek plana işlenecektir. </t>
  </si>
  <si>
    <t>Toplam:</t>
  </si>
  <si>
    <t>ANKARA BİLİM ÜNİVERSİTESİ</t>
  </si>
  <si>
    <t>2025-2026 ÖĞRETİM YILI BAHAR DÖNEMİ</t>
  </si>
  <si>
    <t>MALTEPE KAMPÜSÜ DERSLİK PROGRAMI</t>
  </si>
  <si>
    <t>Gün</t>
  </si>
  <si>
    <t>Saat</t>
  </si>
  <si>
    <t>Online</t>
  </si>
  <si>
    <t>ÜST KAT</t>
  </si>
  <si>
    <t>Pazartesi</t>
  </si>
  <si>
    <t>09:00 - 09:50</t>
  </si>
  <si>
    <t>ETI 208 
(Dr. Akbay)</t>
  </si>
  <si>
    <t>YBS 261 TİCARİ İSTİHBARAT 
SERTAÇ- ÖZGÜL HOCALAR</t>
  </si>
  <si>
    <t xml:space="preserve">CMM 211-Philosophy of Technology and Society </t>
  </si>
  <si>
    <t>BUS 304                                                                                   (Dr. Özgül)</t>
  </si>
  <si>
    <t>BUS 102                                                                                (Dr. Kalkan)</t>
  </si>
  <si>
    <t>SEC329/CMM 329</t>
  </si>
  <si>
    <t xml:space="preserve">ETI 112
(Dr. Acar)
</t>
  </si>
  <si>
    <t>09:55 - 10:45</t>
  </si>
  <si>
    <t>MYO IHA104	İHA SİSTEMLERİ ÜRETİM VE TESTLERİ</t>
  </si>
  <si>
    <t>MATH 101 (Teorik) - 
Sec 1 (Mustafa Akkaya)</t>
  </si>
  <si>
    <t>10:50 - 11:40</t>
  </si>
  <si>
    <t>OC 160 Diplomasi Atölyesi</t>
  </si>
  <si>
    <t>SEC329</t>
  </si>
  <si>
    <t>12:20 - 13:10</t>
  </si>
  <si>
    <t>CMM 176 Psikopatik Çağda İnsan</t>
  </si>
  <si>
    <t>SİMURG SENİOR</t>
  </si>
  <si>
    <t>POLS 306                                                                           (Assoc. Prof. Köni)</t>
  </si>
  <si>
    <t>SİMURG MASTERCLASS</t>
  </si>
  <si>
    <t>HUK306</t>
  </si>
  <si>
    <t>ETI 110
(Dr. Akbay)</t>
  </si>
  <si>
    <t>ETI 264
(Doç. Düzgün)</t>
  </si>
  <si>
    <t>YBS 457 TEDARİK ZİNCİRİ YÖNETİMİ
DR. ADİL AKKUŞ</t>
  </si>
  <si>
    <t>Protokol Eğitimi</t>
  </si>
  <si>
    <t>13:15 - 14:05</t>
  </si>
  <si>
    <t>FAD 110</t>
  </si>
  <si>
    <t>14:10 - 15:00</t>
  </si>
  <si>
    <t>15:20 - 16:10</t>
  </si>
  <si>
    <t xml:space="preserve">	CMM 174	Media, Politics and Power</t>
  </si>
  <si>
    <t>GER 202 (01)
(Öğr. Gör. Yılmaz)</t>
  </si>
  <si>
    <t>MIS 251 
Dr. Koçanlı</t>
  </si>
  <si>
    <t>16:15 - 17:05</t>
  </si>
  <si>
    <t>SİMURG SEÇMELİ RUSÇA</t>
  </si>
  <si>
    <t>MATH 102 (Teorik) - 
Sec 3 (Mustafa Akkaya)</t>
  </si>
  <si>
    <t>17:10 - 18:00</t>
  </si>
  <si>
    <t>MIS 251
Dr. Koçanlı</t>
  </si>
  <si>
    <t>18.10 - 19.00</t>
  </si>
  <si>
    <t>BUS 507
(Assoc. Prof. Topcu)</t>
  </si>
  <si>
    <t>YBS 504
(Dr. Akkuş)</t>
  </si>
  <si>
    <t>19.10 - 20.00</t>
  </si>
  <si>
    <t>20.10 - 21.00</t>
  </si>
  <si>
    <t>Salı</t>
  </si>
  <si>
    <t xml:space="preserve"> MIS 469
(Dr. Kandemir)</t>
  </si>
  <si>
    <t>POLS 352                                                                                   (Dr. Emir)</t>
  </si>
  <si>
    <t>BUS 302                                                                                  (Dr. Akdemir)</t>
  </si>
  <si>
    <t xml:space="preserve">SPAN 302 </t>
  </si>
  <si>
    <t>HUK304</t>
  </si>
  <si>
    <t>BUS 104                                                                                             (Prof. Eren)</t>
  </si>
  <si>
    <t>HUK414</t>
  </si>
  <si>
    <t>MATH 102 (Teorik) - Sec 1 (Osman Tuncay Başkaya)</t>
  </si>
  <si>
    <t>FAD 320</t>
  </si>
  <si>
    <t>OC 154</t>
  </si>
  <si>
    <t>MIS 363 
(Assoc. Prof. Metin)</t>
  </si>
  <si>
    <t>YBS 352 SOSYAL GİRİŞİMCİLİK
FUAT GÜNEY</t>
  </si>
  <si>
    <t>SPAN 202</t>
  </si>
  <si>
    <t>BUS 202                                                                                                      (Dr. Özgül)</t>
  </si>
  <si>
    <t xml:space="preserve">ENG 202 - 02 (PSY) </t>
  </si>
  <si>
    <t>YBS 322 KARAR DESTEK SİSTEMLERİ
DR. FATMA DEMİR ERKUL</t>
  </si>
  <si>
    <t>HUK308</t>
  </si>
  <si>
    <t>PSİ 480
(Dr. Yeşi Kocagazioğlu)</t>
  </si>
  <si>
    <t>CMM 202 Technical  Communication &amp;  Project Design</t>
  </si>
  <si>
    <t>ETI 104
(Dr. Akbay)</t>
  </si>
  <si>
    <t>PHY 102 (Teorik) - Sec 3(Vedat Tanrıverdi)</t>
  </si>
  <si>
    <t>OC 106 ANKARA</t>
  </si>
  <si>
    <t>SİMURG 2. DÖNEM</t>
  </si>
  <si>
    <t>HUK404</t>
  </si>
  <si>
    <t>CMM 208 Turkish Political History</t>
  </si>
  <si>
    <t>PSİ 451</t>
  </si>
  <si>
    <t>OC 174 Advanced English Speaking</t>
  </si>
  <si>
    <t xml:space="preserve">OC 174 Advanced English Speaking </t>
  </si>
  <si>
    <t>FAD 332</t>
  </si>
  <si>
    <t>MATH 102 (Teorik) - Sec 2 (Osman Tuncay Başkaya)</t>
  </si>
  <si>
    <t>CMM 900 Turkish for International Students</t>
  </si>
  <si>
    <t>19.10-  20.00</t>
  </si>
  <si>
    <t>Çarşamba</t>
  </si>
  <si>
    <t>MIS 362
(Lect. Yolcu)</t>
  </si>
  <si>
    <t>PSİ 454</t>
  </si>
  <si>
    <t>MIS 458
Dr. Gerdan</t>
  </si>
  <si>
    <t>POLS 302                                                                          (Assoc. Prof. Köni)</t>
  </si>
  <si>
    <t xml:space="preserve">ETI 362
(Doç. Düzgün)
</t>
  </si>
  <si>
    <t xml:space="preserve">SOC 102                                                                                                (Prof. Kes Erkul) </t>
  </si>
  <si>
    <t>HUK312</t>
  </si>
  <si>
    <t>MIS 457
(Prof. Meydan)</t>
  </si>
  <si>
    <t>ETI 202
(Dr. Acar)</t>
  </si>
  <si>
    <t>HUK408</t>
  </si>
  <si>
    <t>OC 153 Psikolojik Destek</t>
  </si>
  <si>
    <t>POLS 308                                                                                     (Dr. Aslaner)</t>
  </si>
  <si>
    <t>MIS 322
Dr. Erkul</t>
  </si>
  <si>
    <t>BUS 308                                                                                                                                       (Dr. Akdemir)</t>
  </si>
  <si>
    <t xml:space="preserve">ENG302-03 (TR YBS)  </t>
  </si>
  <si>
    <t>ETI 376
(Dr. Acar)</t>
  </si>
  <si>
    <t>MIS 112
(Prof. Meydan)</t>
  </si>
  <si>
    <t xml:space="preserve">ENG 302 - 01 (PSY.) </t>
  </si>
  <si>
    <t>FLM 302</t>
  </si>
  <si>
    <t>PSY 109</t>
  </si>
  <si>
    <t>OC 118</t>
  </si>
  <si>
    <t>HUK412</t>
  </si>
  <si>
    <t>MATH 101 (Teorik) - Sec 1(Mustafa Akkaya)</t>
  </si>
  <si>
    <t>YBS 362 MÜZAKERE TEKNİKLERİ
DOÇ.DR. MÜNEVVER BAYAR</t>
  </si>
  <si>
    <t>GER 202 (02)
(Öğr. Gör. Yılmaz)</t>
  </si>
  <si>
    <t>POLS 214                                                                                        (Dr. Değirmenci)</t>
  </si>
  <si>
    <t xml:space="preserve"> CMM 186 İklim Değişikliği ve Ekonomi</t>
  </si>
  <si>
    <t xml:space="preserve">MYO - IHA102	İTKİ SİSTEMİ SEÇİMİ VE TASARIMI </t>
  </si>
  <si>
    <t>OC 166 Diksiyon</t>
  </si>
  <si>
    <t>SİMURG SEÇMELİ İLETİŞİM</t>
  </si>
  <si>
    <t>ISL 512 
(Prof. Meydan)</t>
  </si>
  <si>
    <t>Perşembe</t>
  </si>
  <si>
    <t>SPAN 302
(Öğr. Gör. Ersoy)</t>
  </si>
  <si>
    <t>YBS 312 BİLGİ SİSTEMLERİ
DR. MURAT BAŞEĞMEZ</t>
  </si>
  <si>
    <t>BUS 206                                                                                                                                        (Dr. Kalkan)</t>
  </si>
  <si>
    <t>POLS 216                                                                                 (Dr. Vural)</t>
  </si>
  <si>
    <t>HUK316</t>
  </si>
  <si>
    <t>YBS 212 
Dr. Aykaç</t>
  </si>
  <si>
    <t>FAD 104</t>
  </si>
  <si>
    <t>MATH 102 (Teorik) - Sec 2(Osman Tuncay Başkaya)</t>
  </si>
  <si>
    <t>07.05.2026-DOLU</t>
  </si>
  <si>
    <t>HUK410</t>
  </si>
  <si>
    <t>OC 170</t>
  </si>
  <si>
    <t>POLS 102                                                                            (Assoc. Prof. Köni)</t>
  </si>
  <si>
    <t xml:space="preserve">PSY 454 </t>
  </si>
  <si>
    <t>BUS 210                                                                                                                                        (Dr. Kalkan)</t>
  </si>
  <si>
    <t>POLS 262                                                                          (Dr. Balcı)</t>
  </si>
  <si>
    <t>ETI 316
(Dr. Saki Demirel)</t>
  </si>
  <si>
    <t>OC 164</t>
  </si>
  <si>
    <t>YBS 232 AĞ GÜVENLİĞİ
A.SAMET YÜZLÜ</t>
  </si>
  <si>
    <t>MIS 212
(Dr. Özgül)</t>
  </si>
  <si>
    <t>PHY 102 (Teorik) - Sec 1(Vedat Tanrıverdi)</t>
  </si>
  <si>
    <t>HUK406</t>
  </si>
  <si>
    <t>OC Hakikat</t>
  </si>
  <si>
    <t>FLM 206</t>
  </si>
  <si>
    <t>OC HAKİKAT</t>
  </si>
  <si>
    <t>SPAN 202
(Öğr. Gör. Ersoy)</t>
  </si>
  <si>
    <t>FR 102
(Öğr. Gör. Alpar Kutlucan)</t>
  </si>
  <si>
    <t>ETI 402
(Dr. Düzgün)</t>
  </si>
  <si>
    <t>YBS 222 OLASILIK VE İSTATİSTİK II
DR. M.ALPER AKDEMİR</t>
  </si>
  <si>
    <t xml:space="preserve">ETI 212
(Dr. Saki Demirel)
</t>
  </si>
  <si>
    <t xml:space="preserve">MYO - TAP222 Görsel Yapımlar İçin Ses Prodüksiyonu </t>
  </si>
  <si>
    <t>MATH 102 (Teorik) - Sec 1(Osman Tuncay Başkaya)</t>
  </si>
  <si>
    <t>SİMURG SEÇMELİ İNGİLİZCE</t>
  </si>
  <si>
    <t>MIS 512
(Dr. Kalkan)</t>
  </si>
  <si>
    <t>ISL 514
(Dr. Bağcı)</t>
  </si>
  <si>
    <t>Cuma</t>
  </si>
  <si>
    <t>GER 102 (01)
(Öğr. Gör. Yılmaz)</t>
  </si>
  <si>
    <t>KOR 102
(Öğr. Gör. Yıldız)</t>
  </si>
  <si>
    <t>POLS 354                                                                           (Prof. Kes Erkul)</t>
  </si>
  <si>
    <t>SPAN 102 (01)
(Öğr. Gör. Ersoy)</t>
  </si>
  <si>
    <t>POLS 212                                                                                     (Assoc. Prof. Koni)</t>
  </si>
  <si>
    <t>MIS 364 Multinational and National Statistical Systems</t>
  </si>
  <si>
    <t>BUS 208                                                                                                                               (Dr. Aykaç)</t>
  </si>
  <si>
    <t>HUK302</t>
  </si>
  <si>
    <t>POLS 106                                                                            (Prof. Osra)</t>
  </si>
  <si>
    <t>MIS 232
(Dr. Sarı)</t>
  </si>
  <si>
    <t>FAD 330</t>
  </si>
  <si>
    <t>MATH 102 (Teorik) - Sec 3 (Mustafa Akkaya)</t>
  </si>
  <si>
    <t>PSY 342 (telafi)</t>
  </si>
  <si>
    <t>SEC318</t>
  </si>
  <si>
    <t>POLS 108                                                                                      (Dr. Balcı)</t>
  </si>
  <si>
    <t>GER 102 (02)
(Öğr. Gör. Yılmaz)</t>
  </si>
  <si>
    <t>SPAN 102 (02)
(Öğr. Gör. Ersoy)</t>
  </si>
  <si>
    <t>YBS 242 YBS İÇİN VERİ TABANI
DR. GÜLÇİN ADIYAMAN</t>
  </si>
  <si>
    <t>MIS 468 
(Dr. Erek)</t>
  </si>
  <si>
    <t>PHY 102 (Teorik) - Sec 2(Vedat Tanrıverdi)</t>
  </si>
  <si>
    <t>MIS 510
(Dr. Özgül)</t>
  </si>
  <si>
    <t>YBS 518
(Dr. Künye Polat)</t>
  </si>
  <si>
    <t>Cumartesi</t>
  </si>
  <si>
    <t>ENG 102 - 04 (TR -ITBF+PSY+HUKUK)</t>
  </si>
  <si>
    <t>ENG 102 - 04 (TR-ITBF+PSY+HUKUK)</t>
  </si>
  <si>
    <t>ENG 202 - 14 (HUKUK)</t>
  </si>
  <si>
    <t>Derslik Kullanım Oranı</t>
  </si>
  <si>
    <t>GSTF BİLG LAB 4</t>
  </si>
  <si>
    <t>ORTAK BIL LAB</t>
  </si>
  <si>
    <t>SHGM sınav merkezi</t>
  </si>
  <si>
    <t>MMF EEE Lab</t>
  </si>
  <si>
    <t>MMF Bilgisayar Lab</t>
  </si>
  <si>
    <t>MMF Bilg Lab</t>
  </si>
  <si>
    <t>MMF-Fizik Lab</t>
  </si>
  <si>
    <t>YBS</t>
  </si>
  <si>
    <t>PSY 453</t>
  </si>
  <si>
    <t>FAD 308</t>
  </si>
  <si>
    <t>YBS 142 JAVA 
DOÇ.DR.GÜNEY GÜRSEL</t>
  </si>
  <si>
    <t>MYO  BGT 104	SANALLAŞTIRMA 
VE BULUT TEKNOLOJİLERİ Ş1</t>
  </si>
  <si>
    <t>MYO  BGT 102	GÜVENLİ 
AĞ TASARIMI VE CİHAZ YÖNETİMİ Ş1</t>
  </si>
  <si>
    <t xml:space="preserve">ENG 302 - 09 </t>
  </si>
  <si>
    <t xml:space="preserve">FAD 308 </t>
  </si>
  <si>
    <t xml:space="preserve">MYO - İHA204	MİKRODENETLEYİCİLER </t>
  </si>
  <si>
    <t>POLS 264                                                                          (Dr. Balcı)</t>
  </si>
  <si>
    <t>PSİ 221</t>
  </si>
  <si>
    <t>MYO - VTK 206 Web Analitiği ve Zekası</t>
  </si>
  <si>
    <t>MYO - BIL 224 Algoritma ve Programlama ş1</t>
  </si>
  <si>
    <t>MYO - İHA204	MİKRODENETLEYİCİLER</t>
  </si>
  <si>
    <t xml:space="preserve">MYO - IHA112	TEMEL ELEKTRİK ve ELEKTRONİK ş1 </t>
  </si>
  <si>
    <t>FAD 464</t>
  </si>
  <si>
    <t xml:space="preserve">ENG 202 - 07 (TR PSK. ) </t>
  </si>
  <si>
    <t>CMM 178</t>
  </si>
  <si>
    <t xml:space="preserve">ENG 202 - 07 (TR PSK.) </t>
  </si>
  <si>
    <t>CENG 101 (Lab) - Sec 1 (Halil Özmen)</t>
  </si>
  <si>
    <t>EEE 482 (Teorik) - Sec 1 (Mahmut Mol)</t>
  </si>
  <si>
    <t>IAD 104 (Dr. Nihan Türker)</t>
  </si>
  <si>
    <t>MYO - BIL 122 JAVA İLE PROGRAMLAMA II U Ş1</t>
  </si>
  <si>
    <t xml:space="preserve">ENG 202 - 06 (TR PSK. )  </t>
  </si>
  <si>
    <t xml:space="preserve">ENG 202 - 01 (YBS) </t>
  </si>
  <si>
    <t xml:space="preserve">ENG 202 - 06 ( TR PSK. ) </t>
  </si>
  <si>
    <t>MYO - BIL 122 JAVA İLE PROGRAMLAMA II U Ş2</t>
  </si>
  <si>
    <t xml:space="preserve">ENG 102 - 03 (ITBF) </t>
  </si>
  <si>
    <t>PSY 313</t>
  </si>
  <si>
    <t>MIS 132
(Prof. Eren)</t>
  </si>
  <si>
    <t>MIS 260
(Assoc. Prof. Erdoğan)</t>
  </si>
  <si>
    <t>BM 102 (Lab) - Sec 1 (Hasan Karaaslan)</t>
  </si>
  <si>
    <t>BM 332 (Lab) - Sec 1</t>
  </si>
  <si>
    <t>FAD 108</t>
  </si>
  <si>
    <t>PSY 342</t>
  </si>
  <si>
    <t>PSİ 455</t>
  </si>
  <si>
    <t>MYO - IHA112	TEMEL ELEKTRİK ve ELEKTRONİK ş2</t>
  </si>
  <si>
    <t>MYO - BIL 122 JAVA İLE PROGRAMLAMA II U Ş3</t>
  </si>
  <si>
    <t>HUK114</t>
  </si>
  <si>
    <t>PSY 455</t>
  </si>
  <si>
    <t>MYO - VTK 204 İÇERİK YÖNETİM SİSTEMLERİ</t>
  </si>
  <si>
    <t>PHY 104 (Lab) - Sec 2 (Vedat Tanrıverdi)</t>
  </si>
  <si>
    <t>OC 151</t>
  </si>
  <si>
    <t>CENG 102 (Lab) - Sec 1 (Hasan Karaaslan)</t>
  </si>
  <si>
    <t>OC 152</t>
  </si>
  <si>
    <t xml:space="preserve">NMC 206 </t>
  </si>
  <si>
    <t>PSİ 483</t>
  </si>
  <si>
    <t>PSY 221</t>
  </si>
  <si>
    <t xml:space="preserve">ENG 202 - 03 (SIYASET BILIMI) </t>
  </si>
  <si>
    <t xml:space="preserve">FLM 204 </t>
  </si>
  <si>
    <t>EEE 212 (Lab) - Sec 1 (Parisa Akar)</t>
  </si>
  <si>
    <t>CENG 102 (Lab) - Sec 2 (Hasan Karaaslan)</t>
  </si>
  <si>
    <t xml:space="preserve">FAD 106 </t>
  </si>
  <si>
    <t>PSİ 102</t>
  </si>
  <si>
    <t>ENG 302 - 02 (ITBF-YBS)</t>
  </si>
  <si>
    <t>MYO - IHA206	ARIZA ANALİZ</t>
  </si>
  <si>
    <t>IE 112 - Teknik Resim</t>
  </si>
  <si>
    <t>EEE 304 (Lab) - Sec 1 (Hamed K.)</t>
  </si>
  <si>
    <t>MIS 532
(Dr. Bayar)</t>
  </si>
  <si>
    <t>PSY 484</t>
  </si>
  <si>
    <t>ETI 202 Telafi Dersi</t>
  </si>
  <si>
    <t>MIS 351
(Dr. Bayar)</t>
  </si>
  <si>
    <t>MYO - VTK 232 	JavaScript ile Programlama</t>
  </si>
  <si>
    <t>MYO - BIL 211	BİLGİSAYARLI İSTATİSTİK  Ş2</t>
  </si>
  <si>
    <t>PHY 104 (Lab) - Sec 3(Vedat Tanrıverdi)</t>
  </si>
  <si>
    <t>EEE 203 (Lab) - Sec 1 (Hamed K.)-ORTAK DERS</t>
  </si>
  <si>
    <t>MIS 142
(Assoc. Prof. Erdoğan)</t>
  </si>
  <si>
    <t>EEE 203 (Lab) - Sec 1 (Hamed K.)</t>
  </si>
  <si>
    <t>YBS 354 DİJİTAL PAZARLAMA
DR. NESLİHAN KÜNYE POLAT</t>
  </si>
  <si>
    <t>MIS 312
(Dr. Başeğmez)</t>
  </si>
  <si>
    <t>ETI 316</t>
  </si>
  <si>
    <t>MYO - BIL 224 Algoritma ve Programlama ş2</t>
  </si>
  <si>
    <t>EEE 302 (Lab) - Sec 1 (Yusuf Uzun)</t>
  </si>
  <si>
    <t>SEC306</t>
  </si>
  <si>
    <t xml:space="preserve">NMC 204 </t>
  </si>
  <si>
    <t>SEC319</t>
  </si>
  <si>
    <t>PSY 229</t>
  </si>
  <si>
    <t>ETI 212</t>
  </si>
  <si>
    <t>CENG 102 (Lab) - Sec 3 (Hasan Karaaslan)</t>
  </si>
  <si>
    <t>FIZ 104 (Lab) - Sec 1 (Esra Eroğlu)</t>
  </si>
  <si>
    <t>CENG 102 (Lab) - Sec 3(Hasan Karaaslan)</t>
  </si>
  <si>
    <t>PSY 322</t>
  </si>
  <si>
    <t>YBS 351 SİMÜLASYON VE MODELLEME
DR. GÜLÇİN ADIYAMAN</t>
  </si>
  <si>
    <t xml:space="preserve">FAD 108 </t>
  </si>
  <si>
    <t>Araştırma Görevlisi Sınavı İTBF</t>
  </si>
  <si>
    <t>PHY 104 (Lab) - Sec 1(Vedat Tanrıverdi)</t>
  </si>
  <si>
    <t xml:space="preserve">ENG 202 -05 (TR YBS)  </t>
  </si>
  <si>
    <t>EEE102- Yusuf Uzun</t>
  </si>
  <si>
    <t xml:space="preserve">ENG 102 - 02 (PSY) </t>
  </si>
  <si>
    <t>PSİ 453</t>
  </si>
  <si>
    <t xml:space="preserve">ENG 102 - 02 ( PSY) </t>
  </si>
  <si>
    <t>C 071</t>
  </si>
  <si>
    <t xml:space="preserve">C 078 </t>
  </si>
  <si>
    <t>MÜZİK</t>
  </si>
  <si>
    <t>İTBF LAB</t>
  </si>
  <si>
    <t>MYO IHA LAB</t>
  </si>
  <si>
    <t>MMF BİLG LAB 5</t>
  </si>
  <si>
    <t>MYO- BİLG LAB</t>
  </si>
  <si>
    <t>BILG LAB - MYO</t>
  </si>
  <si>
    <t>ENG 102 - 05 - GSTF</t>
  </si>
  <si>
    <t>IAD 101 (Dr. Merve Şahika Erkan)</t>
  </si>
  <si>
    <t>CENG 336 (Teorik) - Sec 1 (Ayhan Akbaş)</t>
  </si>
  <si>
    <t>BM 102 (Teorik) - Sec 1 (Hasan Karaaslan)</t>
  </si>
  <si>
    <t>IE 242 Cost Analysis in Engineering Dr. Orhan GERDAN</t>
  </si>
  <si>
    <t>SENG 324 (Teorik) - Sec 1 (Mahmut Nedim Alpdemir)</t>
  </si>
  <si>
    <t>FEL 101</t>
  </si>
  <si>
    <t>HUK416</t>
  </si>
  <si>
    <t>SENG 264 (Teorik) - Sec 1 (Sarper Alkan)</t>
  </si>
  <si>
    <t>ISE 222 (Teorik) - Sec 1 (Didem Tufan)</t>
  </si>
  <si>
    <t>MYO - BIL 122 JAVA İLE PROGRAMLAMA II Ş1</t>
  </si>
  <si>
    <t xml:space="preserve">"YBS 142 JAVA 
DOÇ.DR.GÜNEY GÜRSEL"
</t>
  </si>
  <si>
    <t>PSY 102</t>
  </si>
  <si>
    <t>MYO - BIL 104 VERİ TABANI TEMELLERİ Ş1</t>
  </si>
  <si>
    <t>MYOETP 102 E-TİCARET ve ENTEGRASYON</t>
  </si>
  <si>
    <t>MYO - ETP224 Pazarlamada Vaka Analizleri</t>
  </si>
  <si>
    <t xml:space="preserve">ENG 202 - 08 - GSTF </t>
  </si>
  <si>
    <t>MYO - BIL 215 Nesne Tabanli Programlama II Ş1</t>
  </si>
  <si>
    <t>MYO - BIL 211	BİLGİSAYARLI İSTATİSTİK  Ş1</t>
  </si>
  <si>
    <t>FAD 481 (Prof. Dr. Özlem Erdoğdu Erkaslan)</t>
  </si>
  <si>
    <t>MYO - TAP 106 BASKI TEKNİKLERİ</t>
  </si>
  <si>
    <t>EEE 306 (Lab) - Sec 1 (Mahmut Mol)
"YBS 142 JAVA 
DOÇ.DR.GÜNEY GÜRSEL"</t>
  </si>
  <si>
    <t>ENG 202 - 10</t>
  </si>
  <si>
    <t>MYO - IHA112	TEMEL ELEKTRİK ve ELEKTRONİK ş1</t>
  </si>
  <si>
    <t>ENG 102 - 06 - GSTF</t>
  </si>
  <si>
    <t xml:space="preserve">FLM 208 </t>
  </si>
  <si>
    <t>ENG 102 - 07 (MMF)</t>
  </si>
  <si>
    <t>EEE 306 (Teorik) - Sec 1 (Mahmut Mol)</t>
  </si>
  <si>
    <t>CENG 101 (Teorik) - Sec 1(Halil Özmen)</t>
  </si>
  <si>
    <t>CENG 102 (Teorik) - Sec 1 (Hasan Karaaslan)</t>
  </si>
  <si>
    <t>PHIL 101</t>
  </si>
  <si>
    <t>HUK402</t>
  </si>
  <si>
    <t>HUK208</t>
  </si>
  <si>
    <t>CENG 214 (Teorik) - Sec 1 (Mesut Ünlü)</t>
  </si>
  <si>
    <t>ING 102 - 02 (MYO)</t>
  </si>
  <si>
    <t>BM 384 (Teorik) - Sec 1 (Mustafa İlarslan)</t>
  </si>
  <si>
    <t>MYO - BIL 122 JAVA İLE PROGRAMLAMA II Ş2</t>
  </si>
  <si>
    <t>MYO - BIL 104 VERİ TABANI TEMELLERİ Ş2</t>
  </si>
  <si>
    <t>MYO - ETP 106 ONLINE SATIŞ PLATFORMLARI</t>
  </si>
  <si>
    <t>MIS 222 / BUS 204                                                                                                                                        (Dr. Bayar)</t>
  </si>
  <si>
    <t>EEE 236 (Teorik) - Sec 1 (Parisa Akar)</t>
  </si>
  <si>
    <t>MAT 206 Olasılık Teorisi ve İstatistik (Mesut Altınok)</t>
  </si>
  <si>
    <t>MYO - ETP 206 DIŞ TİCARET İŞLEMLERİ YÖNETİMİ</t>
  </si>
  <si>
    <t>MYO - TAP 104  BİLGİSAYAR DESTEKLİ TASARIM II Ş1</t>
  </si>
  <si>
    <t>MYO -TAP 108 DİJİTAL TASARIM Ş1</t>
  </si>
  <si>
    <t>IAD 402 (Dr. Merve Şahika Erkan)</t>
  </si>
  <si>
    <t>IAD 102 (Prof. Dr. Özlem Erdoğdu Erkaslan)</t>
  </si>
  <si>
    <t>IAD 302 (Dr. Hüma Tülce Uman)</t>
  </si>
  <si>
    <t>ENG 302 - 10</t>
  </si>
  <si>
    <t>IAD 101</t>
  </si>
  <si>
    <t>ENG 202 - 04 (ISLETME)</t>
  </si>
  <si>
    <t>CENG 446 (Teorik) - Sec 1 (Mahmut Nedim Alpdemir)</t>
  </si>
  <si>
    <t>MYO - IHA108	HAVA ARACI SERTİFİKASYONU VE PİLOTAJ-I</t>
  </si>
  <si>
    <t>IE 366 Production Planning and Control II Dr. Orhan GERDAN</t>
  </si>
  <si>
    <t>BM 214 (Teorik) - Sec 1 (Emre Alıç)</t>
  </si>
  <si>
    <t>MYO - MAT121 Matematik I</t>
  </si>
  <si>
    <t>ING 102 - 03 (MYO)</t>
  </si>
  <si>
    <t>MYO - BIL204 İNTERNET PROGRAMCILIĞI II Ş1</t>
  </si>
  <si>
    <t>PSİ 313</t>
  </si>
  <si>
    <t>MATH 206 (Teorik) - Sec 1 (Benhür Satır)</t>
  </si>
  <si>
    <t>MYO - TAP 104  BİLGİSAYAR DESTEKLİ TASARIM II Ş2</t>
  </si>
  <si>
    <t>MYO -TAP 108 DİJİTAL TASARIM Ş2</t>
  </si>
  <si>
    <t xml:space="preserve">ENG 202 - 04 (ISLETME) </t>
  </si>
  <si>
    <t>SENG 501 - Yazılım Proje Yönetimi</t>
  </si>
  <si>
    <t>09:00-09:50</t>
  </si>
  <si>
    <t>IAD 222 (Dr. Hüma Tülce Uman)</t>
  </si>
  <si>
    <t>BIY 101 (Teorik) - Sec 1 (Ayşe Özdemir)</t>
  </si>
  <si>
    <t>IE 324 Project Management Dr. Orhan GERDAN</t>
  </si>
  <si>
    <t>SENG 322 (Teorik) - Sec 1 (Sarper Alkan)</t>
  </si>
  <si>
    <t xml:space="preserve">YBS 132 EKONOMİ
DR. ADİL AKKUŞ </t>
  </si>
  <si>
    <t>HUK106/126</t>
  </si>
  <si>
    <t>CENG 102 (Teorik) - Sec 2 (Hasan Karaaslan)</t>
  </si>
  <si>
    <t>EEE 332 (Teorik) - Sec 1 (Ataberk Necati)</t>
  </si>
  <si>
    <t>MYO - ETP 202 MÜŞTERİ İLİŞKİLERİ YÖNETİMİ</t>
  </si>
  <si>
    <t>MYO - BIL 215 Nesne 
Tabanli Programlama II Ş2</t>
  </si>
  <si>
    <t>MYO - BGT202 Adli Bilişim</t>
  </si>
  <si>
    <t xml:space="preserve">ENG 302 -05- GSTF </t>
  </si>
  <si>
    <t>MAT 224 Doğrusal Cebir ve Diferansiyel Denklemler (Mesut Altınok)</t>
  </si>
  <si>
    <t>MYO - IHA202	ELEKTRONİK ALGILAYICILAR</t>
  </si>
  <si>
    <t>MYO - VTK 108 İleri Web Tasarımı</t>
  </si>
  <si>
    <t>MYO - IHA106	BİLGİSAYAR DESTEKLİ TASARIM ş1</t>
  </si>
  <si>
    <t>09:55-10:45</t>
  </si>
  <si>
    <t>EEE 102 (Teorik) - Sec 1 (Yusuf Uzun)</t>
  </si>
  <si>
    <t>HUK202</t>
  </si>
  <si>
    <t>MYO - BIL 215 Nesne
 Tabanli Programlama II Ş2</t>
  </si>
  <si>
    <t>ENG 102 - 8</t>
  </si>
  <si>
    <t>MYO - TAP 210  FİKRİ HAKLAR VE ETİK</t>
  </si>
  <si>
    <t>10:50-11:40</t>
  </si>
  <si>
    <t xml:space="preserve">NMC 404 </t>
  </si>
  <si>
    <t>Telafi Sınavı</t>
  </si>
  <si>
    <t>12:20- 13:10</t>
  </si>
  <si>
    <t xml:space="preserve">FLM 402 </t>
  </si>
  <si>
    <t>CENG 256 (Teorik) - Sec 1 (Ekrem Çağlar)</t>
  </si>
  <si>
    <t>EEE 208 (Teorik) - Sec 1 (Parisa Akar)</t>
  </si>
  <si>
    <t>IE 202 Work Study and Ergonomics Dr. Arda ALP</t>
  </si>
  <si>
    <t>CENG 424 (Teorik) - Sec 1 (Halil Özmen)</t>
  </si>
  <si>
    <t>PSİ 109</t>
  </si>
  <si>
    <t>HUK206</t>
  </si>
  <si>
    <t>CENG 384 (Teorik) - Sec 2 (Hakan Çağlar)</t>
  </si>
  <si>
    <t>ING 102 - 04 (MYO)</t>
  </si>
  <si>
    <t>EEE 484 (Teorik) - Sec 1 (Ataberk Necati)</t>
  </si>
  <si>
    <t>MYO -  BGT206	Kriptolojinin Temeller</t>
  </si>
  <si>
    <t>CENG 213 (Teorik) - Sec 1 (Yüksel Arslan)</t>
  </si>
  <si>
    <t>PSİ 479</t>
  </si>
  <si>
    <t xml:space="preserve">MYO - IHA208 SİSTEM DİNAMİĞİ </t>
  </si>
  <si>
    <t>PSİ 322</t>
  </si>
  <si>
    <t>ENG 202 - 11</t>
  </si>
  <si>
    <t>MYO - ETP 104 DİJİTAL PAZARLAMA</t>
  </si>
  <si>
    <t>MYO - TAP 206 YARATICI YAZARLIK</t>
  </si>
  <si>
    <t>MYO - TAP 208  İLLUSTRASYON Ş1</t>
  </si>
  <si>
    <t>TAP 204  BİLGİSAYAR DESTEKLİ ANİMASYON II Ş1</t>
  </si>
  <si>
    <t>13:15-14:05</t>
  </si>
  <si>
    <t>NMC 404</t>
  </si>
  <si>
    <t>IAD 202 (Doç. Dr. Ece Kumkale Açıkgöz)</t>
  </si>
  <si>
    <t>ECON102</t>
  </si>
  <si>
    <t>ENG 302 - 8</t>
  </si>
  <si>
    <t>IAD 351 (Dr. Nihan Türker)</t>
  </si>
  <si>
    <t>14:10-15:00</t>
  </si>
  <si>
    <t>15:20-16:10</t>
  </si>
  <si>
    <t>CENG 214 (Teorik) - Sec 2 (Mesut Ünlü)</t>
  </si>
  <si>
    <t>EEE 204 (Teorik) - Sec 1 (Hamed K.)</t>
  </si>
  <si>
    <t>CENG 332 (Teorik) - Sec 1 (Ender Sevinç)</t>
  </si>
  <si>
    <t xml:space="preserve">PSİ 455 </t>
  </si>
  <si>
    <t>SEC258</t>
  </si>
  <si>
    <t>MYO - BIL210 VERİ YAPILARI Ş2</t>
  </si>
  <si>
    <t>MYO - BIL 215 Nesne Tabanli Programlama II Ş3</t>
  </si>
  <si>
    <t>BM 324 (Teorik) - Sec 1 (Yüksel Arslan)</t>
  </si>
  <si>
    <t>MYO - ETP 110 İŞLETME YÖNETİMİ</t>
  </si>
  <si>
    <t>MYO - TAP 208  İLLUSTRASYON Ş2</t>
  </si>
  <si>
    <t>TAP 204  BİLGİSAYAR DESTEKLİ ANİMASYON II Ş2</t>
  </si>
  <si>
    <t>16:15-17:05</t>
  </si>
  <si>
    <t>17:10-18:00</t>
  </si>
  <si>
    <t>18.10-19.00</t>
  </si>
  <si>
    <t>19.10-20.00</t>
  </si>
  <si>
    <t>20.10-21.00</t>
  </si>
  <si>
    <t>ENG 302 - 06 - GSTF</t>
  </si>
  <si>
    <t>CENG 336 (Teorik) - Sec 2 (Ayhan Akbaş)</t>
  </si>
  <si>
    <t>IE 232 Operations Research I Doç. Dr. Yavuz Selim ÖZDEMİR</t>
  </si>
  <si>
    <t>BIO 101 (Teorik) - Sec 1 (Ayşe Özdemir)</t>
  </si>
  <si>
    <t>MIS 122  (Dr. Bayar)</t>
  </si>
  <si>
    <t>HUk212</t>
  </si>
  <si>
    <t>MATH 224 (Teorik) - Sec 1(Mustafa Akkaya)</t>
  </si>
  <si>
    <t>EEE 455 (Teorik) - Sec 1 (Yusuf Uzun)</t>
  </si>
  <si>
    <t>MYO - BGT230 Blokzincir ve Güvenliği</t>
  </si>
  <si>
    <t>YBS 122 İŞLETME MATEMATİĞİ II 
DR. ADİL AKKUŞ</t>
  </si>
  <si>
    <t xml:space="preserve">MYO - BIL206	GÖMÜLÜ SİSTEMLER ş1 </t>
  </si>
  <si>
    <t>FAD 477 (Doç. Dr. Ece Kumkale Açıkgöz)</t>
  </si>
  <si>
    <t>NMC 202</t>
  </si>
  <si>
    <t xml:space="preserve">MYO - TAP 202 SİNEMA VE ANİMASYON TARİHİ </t>
  </si>
  <si>
    <t xml:space="preserve">MYO - IHA106	BİLGİSAYAR DESTEKLİ TASARIM ş2  </t>
  </si>
  <si>
    <t>MYO - BIL208	MOBİL PROGRAMLAMA ş1</t>
  </si>
  <si>
    <t>ENG 102 - 10 (MMF)</t>
  </si>
  <si>
    <t>EEE 202 (Teorik) - Sec 1 (Parisa Akar)</t>
  </si>
  <si>
    <t>CENG 332 (Lab) - Sec 1</t>
  </si>
  <si>
    <t>MAT 102 (Teorik) - Sec 1(Mesut Altunok)</t>
  </si>
  <si>
    <t>SİMURG SEÇMELİ</t>
  </si>
  <si>
    <t>CENG 336 (Teorik) - Sec 3(Ayhan Akbaş)</t>
  </si>
  <si>
    <t>ENG 302 - 07</t>
  </si>
  <si>
    <t>IE 362 Supply Chain Management (Technical Elective II) Dr. Orhan GERDAN</t>
  </si>
  <si>
    <t>EEE 304 (Teorik) - Sec 1 (Hamed K.)</t>
  </si>
  <si>
    <t>ETI 114 (Doç. Düzgün)</t>
  </si>
  <si>
    <t>BM 256 (Teorik) - Sec 1 (Ekrem Çağlar)</t>
  </si>
  <si>
    <t>ING 102 - 07 (MYO)</t>
  </si>
  <si>
    <t>ISE 350/SENG 413 (Teorik) - Sec 1 (Ender Sevinç)</t>
  </si>
  <si>
    <t>MYO - ETP 108 YENİ MEDYA VE REKLAM ş1</t>
  </si>
  <si>
    <t xml:space="preserve">MYO - BIL204	İNTERNET PROGRAMCILIĞI II Ş2 </t>
  </si>
  <si>
    <t>SURD 106 SÜRDÜRÜLEBİRLİĞE GİRİŞ
DR. NESLİHAN KÜNYE POLAT</t>
  </si>
  <si>
    <t>MYO - BGT212 Sızma Testi</t>
  </si>
  <si>
    <t>FAD 363 (Dr. Nedim Kemer)</t>
  </si>
  <si>
    <t>PSİ 229</t>
  </si>
  <si>
    <t>MYO -  IHA 224 - SAYISAL ELEKTRONİK</t>
  </si>
  <si>
    <t>MYO - TAP 228  Sanat Tarihi</t>
  </si>
  <si>
    <t>MIS 242
(Assoc. Prof. Erdoğan)</t>
  </si>
  <si>
    <t>MYO - BGT 102	GÜVENLİ AĞ TASARIMI VE CİHAZ YÖNETİMİ ş2</t>
  </si>
  <si>
    <t xml:space="preserve">MYO - BGT 108 WEB GÜVENLİĞİ ş1 </t>
  </si>
  <si>
    <t xml:space="preserve">ENG 202 - 03 (SIYASET BILIMI)  </t>
  </si>
  <si>
    <t>MYO - ETP 108 YENİ MEDYA VE REKLAM ş2</t>
  </si>
  <si>
    <t>MYO - ETP 108 YENİ MEDYA VE REKLAM ş3</t>
  </si>
  <si>
    <t xml:space="preserve">ENG 202 - 012- GSTF </t>
  </si>
  <si>
    <t>CENG 102 (Teorik) - Sec 3 (Hasan Karaaslan)</t>
  </si>
  <si>
    <t>ISE 322 (Teorik) - Sec 1 (Mesut Ünlü)</t>
  </si>
  <si>
    <t>MATH 224 (Teorik) - Sec 2(Mustafa Akkaya)</t>
  </si>
  <si>
    <t>CENG 256 (Teorik) - Sec 2 (Ekrem Çağlar)</t>
  </si>
  <si>
    <t>SEC260</t>
  </si>
  <si>
    <t>MYO - MAT122 Matematik II</t>
  </si>
  <si>
    <t>MYO -IHA206 ARIZA ANALİZİ</t>
  </si>
  <si>
    <t>BM 264 (Teorik) - Sec 1 (Sarper Alkan)</t>
  </si>
  <si>
    <t>MYO - BIL206	GÖMÜLÜ SİSTEMLER ş2</t>
  </si>
  <si>
    <t>ENG 302-04 PSK-TR</t>
  </si>
  <si>
    <t>MYO - BGT 106	AÇIK KAYNAK İŞLETİM SİSTEMİ ş1</t>
  </si>
  <si>
    <t>PSY 219</t>
  </si>
  <si>
    <t>ENG 202 - 13</t>
  </si>
  <si>
    <t>CMM152</t>
  </si>
  <si>
    <t>MYO - BIL208	MOBİL PROGRAMLAMA ş2</t>
  </si>
  <si>
    <t xml:space="preserve">ENG 202 - 012 - GSTF </t>
  </si>
  <si>
    <t>FAD 446 (Dr. Merve Şahika Erkan - Dr. Çiğdem Özkan Sev)</t>
  </si>
  <si>
    <t>ETI 304
(Dr. Saki Demirel)</t>
  </si>
  <si>
    <t>CMM 189 Space Design in Cinema</t>
  </si>
  <si>
    <t>CENG 384 (Teorik) - Sec 1 (Hakan Çağlar)</t>
  </si>
  <si>
    <t>IE 346 Decision Analysis Doç. Dr. Yavuz Selim ÖZDEMİR</t>
  </si>
  <si>
    <t>SENG 264 (Teorik) - Sec 2 (Sarper Alkan)</t>
  </si>
  <si>
    <t>PSİ 219</t>
  </si>
  <si>
    <t>EEE 302 (Teorik) - Sec 1 (Yusuf Uzun)</t>
  </si>
  <si>
    <t>MYO - ETP 108 YENİ MEDYA VE REKLAM</t>
  </si>
  <si>
    <t>ISE 332 (Teorik) - Sec 1 (Didem Tufan)</t>
  </si>
  <si>
    <t>MYO - ETP223 Uluslararası Pazarlama</t>
  </si>
  <si>
    <t>MYO - BGT222 Veri Madenciliğİ</t>
  </si>
  <si>
    <t>MYO - BGT 106	AÇIK KAYNAK İŞLETİM SİSTEMİ ş2</t>
  </si>
  <si>
    <t>IAD 132 (Prof. Dr. Özlem Erdoğdu Erkaslan)</t>
  </si>
  <si>
    <t>FAD 460</t>
  </si>
  <si>
    <t>MYO - IHA 231	METEOROLOJİ</t>
  </si>
  <si>
    <t>ceng214 - algoritma II</t>
  </si>
  <si>
    <t>IAD 242</t>
  </si>
  <si>
    <t>MYO - TAP 102 GRAFİK VE ANİMASYON Ş1</t>
  </si>
  <si>
    <t>MYO - BIL210 VERİ YAPILARI Ş1</t>
  </si>
  <si>
    <t>HUK104/124</t>
  </si>
  <si>
    <t xml:space="preserve">ING 302 - 01 (MMF BILG. MUH. TR)  </t>
  </si>
  <si>
    <t xml:space="preserve">ENG 102 -01 (PSY) </t>
  </si>
  <si>
    <t>ING 202 -  01</t>
  </si>
  <si>
    <t>ENG 202 - 12</t>
  </si>
  <si>
    <t>FIZ 102 (Teorik) - Sec 1 (Esra Eroğlu)</t>
  </si>
  <si>
    <t>IE 224 Manufacturing Processes Doç. Dr. Benhür Satır</t>
  </si>
  <si>
    <t>EEE 203 (Teorik) - Sec 1 (Hamed K.)- CENG-SENG-ISE-EEE Ortak Ders</t>
  </si>
  <si>
    <t>PSİ 104</t>
  </si>
  <si>
    <t>SENG 448 (Teorik) - Sec 1 (Hakan Çağlar)</t>
  </si>
  <si>
    <t>ING 102 - 05 (MYO)</t>
  </si>
  <si>
    <t>BM 424 (Teorik) - Sec 1 (Halil Özmen)</t>
  </si>
  <si>
    <t>MYO - ETP 208 GİRİŞİMCİLİK</t>
  </si>
  <si>
    <t>MYO - BGT 104	SANALLAŞTIRMA VE BULUT TEKNOLOJİLERİ Ş2</t>
  </si>
  <si>
    <t>psi 221</t>
  </si>
  <si>
    <t xml:space="preserve">MYO- BGT214 Siber Güvenlik Operasyon Yönetimi </t>
  </si>
  <si>
    <t>NMC 304</t>
  </si>
  <si>
    <t>PSİ 342</t>
  </si>
  <si>
    <t>MYO - IHA 210	AERODİNAMİK VE AVİYONİK SİSTEM TASARIMI</t>
  </si>
  <si>
    <t>YBS 372 - PROGRAMLAMADA ÖZEL KONULAR
CEM IRMAK</t>
  </si>
  <si>
    <t>MYO - TAP 102 GRAFİK VE ANİMASYON Ş2</t>
  </si>
  <si>
    <t>MYO - BGT 108 WEB GÜVENLİĞİ ş2</t>
  </si>
  <si>
    <t xml:space="preserve">ENG 102 - 12 - GSTF </t>
  </si>
  <si>
    <t>HUK204</t>
  </si>
  <si>
    <t>ENG 102 - 9</t>
  </si>
  <si>
    <t xml:space="preserve">IAD 101 </t>
  </si>
  <si>
    <t>SENG 324 (Teorik) - Sec 2 (Mahmut Nedim Alpdemir)</t>
  </si>
  <si>
    <t>BM 336 (Teorik) - Sec 1 (Didem Tufan)</t>
  </si>
  <si>
    <t>IE 370 System Analysis (Technical Elective III) Dr. Arda ALP</t>
  </si>
  <si>
    <t>SENG 264 (Teorik) - Sec 3 (Sarper Alkan)</t>
  </si>
  <si>
    <t>HUk110/122</t>
  </si>
  <si>
    <t>SEC256/CMM 228</t>
  </si>
  <si>
    <t xml:space="preserve">MYO  -BIL 114 SİSTEM ANALİZİ VE TASARIMI </t>
  </si>
  <si>
    <t>ING 102 - 06 (MYO)</t>
  </si>
  <si>
    <t>MYO - BGT 106	AÇIK KAYNAK İŞLETİM SİSTEMİ ş3</t>
  </si>
  <si>
    <t>IAD 254 (Dr. Merve Şahika Erkan)</t>
  </si>
  <si>
    <t>MYO - IHA112	TEMEL ELEKTRİK ve ELEKTRONİK</t>
  </si>
  <si>
    <t>ENG 302 - 11</t>
  </si>
  <si>
    <t>MYO - ETP 204 MARKA YÖNETİMİ</t>
  </si>
  <si>
    <t xml:space="preserve">MYO - BIL 201 Görsel Programlama II Ş1 </t>
  </si>
  <si>
    <t xml:space="preserve">MYO - VTK 104 Web Okuryazarlığı </t>
  </si>
  <si>
    <t xml:space="preserve">NMC 208 </t>
  </si>
  <si>
    <t>ETI 304 Telafi Dersi
(Dr. Saki Demirel)</t>
  </si>
  <si>
    <t>IAD 103</t>
  </si>
  <si>
    <t>SENG 420 (Teorik) - Sec 1 (Yüksel Arslan)</t>
  </si>
  <si>
    <t>IE 376 Management Information Systems (Technical Elective I ) Doç. Dr. Yavuz Selim ÖZDEMİR</t>
  </si>
  <si>
    <t>BM 332 (Teorik) - Sec 1 (Ender Sevinç)</t>
  </si>
  <si>
    <t xml:space="preserve">PSİ 103          </t>
  </si>
  <si>
    <t>HUK112/122</t>
  </si>
  <si>
    <t>HUK210</t>
  </si>
  <si>
    <t>MATH 206 (Teorik) - Sec 2 (Benhür Satır)</t>
  </si>
  <si>
    <t>PSY Telafi Sınavları</t>
  </si>
  <si>
    <t>MYO - BGT 106	AÇIK KAYNAK İŞLETİM SİSTEMİ ş4</t>
  </si>
  <si>
    <t>MYO - BGT204	Bilişim Hukuku</t>
  </si>
  <si>
    <t>CMM 371 Freehand Drawing and Rendering Techniques</t>
  </si>
  <si>
    <t>MYO - BIL 201 Görsel Programlama II Ş2</t>
  </si>
  <si>
    <t>MYO - TAP 104  BİLGİSAYAR DESTEKLİ TASARIM II Ş3</t>
  </si>
  <si>
    <t>ETI 316 Telafi Dersi
(Dr. Saki Demirel)</t>
  </si>
  <si>
    <t xml:space="preserve">PSY 102 Telafi </t>
  </si>
  <si>
    <t>FAD 472 (Dr. Nedim Kemer)</t>
  </si>
  <si>
    <t>ETI 212 Telafi Dersi
(Dr. Saki Demirel)</t>
  </si>
  <si>
    <t>IE 228 Engineering Statistics Dr. Arda ALP</t>
  </si>
  <si>
    <t>YBS 112 İNSAN KAYNAKLARI YÖNETİMİ
DR. POLAT</t>
  </si>
  <si>
    <t>MATH 206 (Teorik) - Sec 3 (Benhür Satır)</t>
  </si>
  <si>
    <t>Saat/Gün</t>
  </si>
  <si>
    <t>09.00 - 09.50</t>
  </si>
  <si>
    <t>09.55 - 10.45</t>
  </si>
  <si>
    <t>10.50 - 11.40</t>
  </si>
  <si>
    <t>12.20 - 13.10</t>
  </si>
  <si>
    <t>13.15 - 14.05</t>
  </si>
  <si>
    <t>14.10 - 15.00</t>
  </si>
  <si>
    <t>15.20 - 16.10</t>
  </si>
  <si>
    <t>16.15 - 17.05</t>
  </si>
  <si>
    <t>17.10 - 18.00</t>
  </si>
  <si>
    <t>18:10 - 19:00</t>
  </si>
  <si>
    <t>19:10 - 20:00</t>
  </si>
  <si>
    <t>20:10 - 21:00</t>
  </si>
  <si>
    <t>18:10 -19:00</t>
  </si>
  <si>
    <t xml:space="preserve">                                                                  LECTURE HALL 7</t>
  </si>
  <si>
    <t xml:space="preserve">                                                              C 092</t>
  </si>
  <si>
    <t xml:space="preserve">                                                              C 091</t>
  </si>
  <si>
    <t xml:space="preserve">                                                              C 090</t>
  </si>
  <si>
    <t xml:space="preserve">                                                              C 089</t>
  </si>
  <si>
    <t xml:space="preserve">                                                              C 088</t>
  </si>
  <si>
    <t xml:space="preserve">                                                              C 087</t>
  </si>
  <si>
    <t xml:space="preserve">                                                              C 086</t>
  </si>
  <si>
    <t xml:space="preserve">                                                              C 085</t>
  </si>
  <si>
    <t xml:space="preserve">                                                              C 084</t>
  </si>
  <si>
    <t xml:space="preserve">                                                              C 078</t>
  </si>
  <si>
    <t xml:space="preserve">                                                              C 077</t>
  </si>
  <si>
    <t xml:space="preserve">                                                              C 076</t>
  </si>
  <si>
    <t xml:space="preserve">                                                              C 075</t>
  </si>
  <si>
    <t xml:space="preserve">                                                              C 074</t>
  </si>
  <si>
    <t>C-073</t>
  </si>
  <si>
    <t>09:10-10:00</t>
  </si>
  <si>
    <t>10:10-11:00</t>
  </si>
  <si>
    <t>11:10-12:00</t>
  </si>
  <si>
    <t>12:10-13:00</t>
  </si>
  <si>
    <t>13:10-14:00</t>
  </si>
  <si>
    <t>15:10-16:00</t>
  </si>
  <si>
    <t>16:10-17:00</t>
  </si>
  <si>
    <t xml:space="preserve">                                                              C 072</t>
  </si>
  <si>
    <t xml:space="preserve">                                                              C 071</t>
  </si>
  <si>
    <t xml:space="preserve">                                                              C 070</t>
  </si>
  <si>
    <t xml:space="preserve">                                                              C 063</t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</si>
  <si>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C-006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</si>
  <si>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C-005</t>
    </r>
  </si>
  <si>
    <r>
      <rPr>
        <i/>
        <sz val="26"/>
        <color rgb="FFFFFFFF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rgb="FFFFFFFF"/>
        <rFont val="Calibri"/>
        <family val="2"/>
        <charset val="162"/>
        <scheme val="minor"/>
      </rPr>
      <t>C-003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</si>
  <si>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L-143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</si>
  <si>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L-140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</si>
  <si>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L-141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</si>
  <si>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L-142</t>
    </r>
  </si>
  <si>
    <t>L-139</t>
  </si>
  <si>
    <t>C-121</t>
  </si>
  <si>
    <t>C-114</t>
  </si>
  <si>
    <t>C-113</t>
  </si>
  <si>
    <t>C-109</t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</si>
  <si>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C-104</t>
    </r>
  </si>
  <si>
    <r>
      <rPr>
        <i/>
        <sz val="26"/>
        <color rgb="FFFFFFFF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rgb="FFFFFFFF"/>
        <rFont val="Calibri"/>
        <family val="2"/>
        <charset val="162"/>
        <scheme val="minor"/>
      </rPr>
      <t>C-103</t>
    </r>
  </si>
  <si>
    <r>
      <rPr>
        <i/>
        <sz val="26"/>
        <color rgb="FFFFFFFF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rgb="FFFFFFFF"/>
        <rFont val="Calibri"/>
        <family val="2"/>
        <charset val="162"/>
        <scheme val="minor"/>
      </rPr>
      <t>C-102</t>
    </r>
  </si>
  <si>
    <r>
      <rPr>
        <i/>
        <sz val="26"/>
        <color theme="0"/>
        <rFont val="Calibri"/>
        <family val="2"/>
        <charset val="162"/>
        <scheme val="minor"/>
      </rPr>
      <t xml:space="preserve">                                                                    </t>
    </r>
    <r>
      <rPr>
        <i/>
        <u/>
        <sz val="26"/>
        <color theme="0"/>
        <rFont val="Calibri"/>
        <family val="2"/>
        <charset val="162"/>
        <scheme val="minor"/>
      </rPr>
      <t>C-101</t>
    </r>
  </si>
  <si>
    <t>AMFİ-1</t>
  </si>
  <si>
    <t>AMFİ-2</t>
  </si>
  <si>
    <t>AMFİ-3</t>
  </si>
  <si>
    <t>AMFİ-4</t>
  </si>
  <si>
    <t>C-233</t>
  </si>
  <si>
    <t>C-232</t>
  </si>
  <si>
    <t>C-231</t>
  </si>
  <si>
    <t>C-230</t>
  </si>
  <si>
    <t>C-229</t>
  </si>
  <si>
    <t>C-222</t>
  </si>
  <si>
    <t>C-221</t>
  </si>
  <si>
    <t>C-220</t>
  </si>
  <si>
    <t>C-215</t>
  </si>
  <si>
    <t>C-214</t>
  </si>
  <si>
    <t>C-213</t>
  </si>
  <si>
    <t>KAT - 0</t>
  </si>
  <si>
    <t>KAT - 1</t>
  </si>
  <si>
    <t xml:space="preserve"> KAT - 2</t>
  </si>
  <si>
    <t>HF/GSTF</t>
  </si>
  <si>
    <t>KÖŞE</t>
  </si>
  <si>
    <t>Psiko-LAB</t>
  </si>
  <si>
    <t>C 121</t>
  </si>
  <si>
    <t>KÜTPH YANI</t>
  </si>
  <si>
    <t>81 GSTF</t>
  </si>
  <si>
    <t>105 HUK</t>
  </si>
  <si>
    <t>Bilg.1</t>
  </si>
  <si>
    <t>105 İTBF</t>
  </si>
  <si>
    <t>Bilg.2</t>
  </si>
  <si>
    <t>110 MMF</t>
  </si>
  <si>
    <t>Bilg.3</t>
  </si>
  <si>
    <t>221 ANK</t>
  </si>
  <si>
    <t>E.El.</t>
  </si>
  <si>
    <t>Fizik</t>
  </si>
  <si>
    <t>1. Sabah 09.10 – Akşam 18.00 arası 9 saat olacak şekilde planlama yapılacaktır</t>
  </si>
  <si>
    <t>İTBF + LEE</t>
  </si>
  <si>
    <t>:+ SİMURG</t>
  </si>
  <si>
    <t>2. Dersler 09.10-12.00, 12.10-15.00, 15.10-18.00 olacak şekilde 3’er saatlik ve boşluk olmadan planlanacaktır.</t>
  </si>
  <si>
    <t>HZR OK</t>
  </si>
  <si>
    <t>C-208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</si>
</sst>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charset val="16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0"/>
      <name val="Calibri"/>
      <family val="2"/>
      <charset val="162"/>
      <scheme val="minor"/>
    </font>
    <font>
      <b/>
      <u/>
      <sz val="15"/>
      <color theme="1"/>
      <name val="Calibri"/>
      <family val="2"/>
      <charset val="162"/>
      <scheme val="minor"/>
    </font>
    <font>
      <i/>
      <u/>
      <sz val="26"/>
      <color theme="0"/>
      <name val="Calibri"/>
      <family val="2"/>
      <charset val="162"/>
      <scheme val="minor"/>
    </font>
    <font>
      <sz val="9"/>
      <color theme="1"/>
      <name val="Amasis MT Pro Black"/>
      <family val="1"/>
      <charset val="162"/>
    </font>
    <font>
      <sz val="8"/>
      <color theme="1"/>
      <name val="Amasis MT Pro Black"/>
      <family val="1"/>
      <charset val="162"/>
    </font>
    <font>
      <i/>
      <sz val="26"/>
      <color theme="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 val="double"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i/>
      <sz val="26"/>
      <color rgb="FFFFFFFF"/>
      <name val="Calibri"/>
      <family val="2"/>
      <charset val="162"/>
      <scheme val="minor"/>
    </font>
    <font>
      <b/>
      <u/>
      <sz val="15"/>
      <color rgb="FF000000"/>
      <name val="Calibri"/>
      <family val="2"/>
      <charset val="162"/>
      <scheme val="minor"/>
    </font>
    <font>
      <sz val="16"/>
      <color rgb="FFFFFFFF"/>
      <name val="Calibri"/>
      <family val="2"/>
      <charset val="162"/>
      <scheme val="minor"/>
    </font>
    <font>
      <sz val="8"/>
      <color rgb="FF000000"/>
      <name val="Amasis MT Pro Black"/>
      <family val="1"/>
      <charset val="16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charset val="162"/>
      <scheme val="minor"/>
    </font>
    <font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Aptos Narrow"/>
    </font>
    <font>
      <i/>
      <u/>
      <sz val="26"/>
      <color rgb="FFFFFFFF"/>
      <name val="Calibri"/>
      <family val="2"/>
      <charset val="162"/>
      <scheme val="minor"/>
    </font>
    <font>
      <i/>
      <u/>
      <sz val="26"/>
      <color rgb="FFFFFFFF"/>
      <name val="Calibri"/>
      <family val="2"/>
      <scheme val="minor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u/>
      <sz val="15"/>
      <color theme="1"/>
      <name val="Calibri"/>
      <family val="2"/>
    </font>
    <font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000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E99C9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000A4"/>
        <bgColor rgb="FF000000"/>
      </patternFill>
    </fill>
    <fill>
      <patternFill patternType="solid">
        <fgColor rgb="FFE99C91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7B46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000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17" fillId="0" borderId="0" applyNumberFormat="0" applyFill="0" applyBorder="0" applyAlignment="0" applyProtection="0"/>
  </cellStyleXfs>
  <cellXfs count="383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12" fillId="4" borderId="1" xfId="0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1" fillId="13" borderId="0" xfId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10" borderId="18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/>
    </xf>
    <xf numFmtId="0" fontId="12" fillId="7" borderId="18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2" fillId="0" borderId="19" xfId="0" applyFont="1" applyBorder="1" applyAlignment="1">
      <alignment horizontal="center" vertical="center"/>
    </xf>
    <xf numFmtId="0" fontId="15" fillId="0" borderId="20" xfId="0" applyFont="1" applyBorder="1"/>
    <xf numFmtId="0" fontId="8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1" fillId="13" borderId="24" xfId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" fillId="0" borderId="24" xfId="1" applyBorder="1" applyAlignment="1">
      <alignment horizontal="center" vertical="center"/>
    </xf>
    <xf numFmtId="0" fontId="1" fillId="16" borderId="0" xfId="1" applyFill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8" borderId="10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13" borderId="24" xfId="0" applyFont="1" applyFill="1" applyBorder="1" applyAlignment="1">
      <alignment horizontal="center" vertical="center"/>
    </xf>
    <xf numFmtId="0" fontId="26" fillId="13" borderId="24" xfId="1" applyFont="1" applyFill="1" applyBorder="1" applyAlignment="1">
      <alignment horizontal="center" vertical="center"/>
    </xf>
    <xf numFmtId="0" fontId="26" fillId="0" borderId="24" xfId="1" applyFont="1" applyBorder="1" applyAlignment="1">
      <alignment horizontal="center" vertical="center"/>
    </xf>
    <xf numFmtId="0" fontId="2" fillId="16" borderId="24" xfId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0" fillId="2" borderId="35" xfId="0" applyFont="1" applyFill="1" applyBorder="1" applyAlignment="1">
      <alignment horizontal="center" wrapText="1"/>
    </xf>
    <xf numFmtId="0" fontId="10" fillId="2" borderId="30" xfId="0" applyFont="1" applyFill="1" applyBorder="1" applyAlignment="1">
      <alignment wrapText="1"/>
    </xf>
    <xf numFmtId="0" fontId="10" fillId="2" borderId="29" xfId="0" applyFont="1" applyFill="1" applyBorder="1" applyAlignment="1">
      <alignment wrapText="1"/>
    </xf>
    <xf numFmtId="0" fontId="11" fillId="0" borderId="0" xfId="0" applyFont="1"/>
    <xf numFmtId="0" fontId="10" fillId="2" borderId="26" xfId="0" applyFont="1" applyFill="1" applyBorder="1" applyAlignment="1">
      <alignment horizontal="center" wrapText="1"/>
    </xf>
    <xf numFmtId="0" fontId="10" fillId="2" borderId="29" xfId="0" applyFont="1" applyFill="1" applyBorder="1" applyAlignment="1">
      <alignment horizontal="center" wrapText="1"/>
    </xf>
    <xf numFmtId="0" fontId="10" fillId="2" borderId="36" xfId="0" applyFont="1" applyFill="1" applyBorder="1" applyAlignment="1">
      <alignment horizontal="center" wrapText="1"/>
    </xf>
    <xf numFmtId="0" fontId="12" fillId="0" borderId="29" xfId="0" applyFont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3" fillId="19" borderId="29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12" fillId="21" borderId="29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22" borderId="29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" fillId="0" borderId="19" xfId="0" applyFont="1" applyBorder="1"/>
    <xf numFmtId="0" fontId="12" fillId="0" borderId="24" xfId="0" applyFont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19" borderId="24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2" fillId="0" borderId="19" xfId="0" applyFont="1" applyBorder="1"/>
    <xf numFmtId="0" fontId="8" fillId="0" borderId="19" xfId="0" applyFont="1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2" xfId="0" applyFont="1" applyBorder="1" applyAlignment="1">
      <alignment horizontal="center"/>
    </xf>
    <xf numFmtId="0" fontId="3" fillId="0" borderId="23" xfId="0" applyFont="1" applyBorder="1"/>
    <xf numFmtId="0" fontId="26" fillId="0" borderId="0" xfId="1" applyFont="1" applyAlignment="1">
      <alignment horizontal="center" vertical="center"/>
    </xf>
    <xf numFmtId="0" fontId="16" fillId="16" borderId="24" xfId="1" applyFont="1" applyFill="1" applyBorder="1" applyAlignment="1">
      <alignment horizontal="center" vertical="center"/>
    </xf>
    <xf numFmtId="0" fontId="15" fillId="0" borderId="20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0" fontId="2" fillId="0" borderId="24" xfId="1" applyNumberFormat="1" applyFont="1" applyBorder="1" applyAlignment="1">
      <alignment horizontal="center" vertical="center"/>
    </xf>
    <xf numFmtId="0" fontId="2" fillId="0" borderId="39" xfId="2" applyFont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16" borderId="24" xfId="1" applyFont="1" applyFill="1" applyBorder="1" applyAlignment="1">
      <alignment horizontal="center" vertical="center" wrapText="1"/>
    </xf>
    <xf numFmtId="0" fontId="1" fillId="16" borderId="24" xfId="1" applyFill="1" applyBorder="1" applyAlignment="1">
      <alignment horizontal="center" vertical="center"/>
    </xf>
    <xf numFmtId="0" fontId="5" fillId="13" borderId="24" xfId="2" applyFont="1" applyFill="1" applyBorder="1" applyAlignment="1">
      <alignment horizontal="center" vertical="center"/>
    </xf>
    <xf numFmtId="20" fontId="3" fillId="13" borderId="24" xfId="1" applyNumberFormat="1" applyFont="1" applyFill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10" fontId="29" fillId="0" borderId="24" xfId="1" applyNumberFormat="1" applyFont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/>
    </xf>
    <xf numFmtId="0" fontId="2" fillId="16" borderId="28" xfId="1" applyFont="1" applyFill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33" fillId="0" borderId="29" xfId="0" applyFont="1" applyBorder="1" applyAlignment="1">
      <alignment horizontal="center"/>
    </xf>
    <xf numFmtId="0" fontId="34" fillId="23" borderId="29" xfId="0" applyFont="1" applyFill="1" applyBorder="1" applyAlignment="1">
      <alignment horizontal="center" vertical="center"/>
    </xf>
    <xf numFmtId="0" fontId="34" fillId="23" borderId="46" xfId="0" applyFont="1" applyFill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20" fontId="3" fillId="4" borderId="24" xfId="1" applyNumberFormat="1" applyFont="1" applyFill="1" applyBorder="1" applyAlignment="1">
      <alignment horizontal="center" vertical="center"/>
    </xf>
    <xf numFmtId="10" fontId="31" fillId="0" borderId="24" xfId="1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19" fillId="0" borderId="50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28" fillId="0" borderId="20" xfId="0" applyFont="1" applyBorder="1" applyAlignment="1">
      <alignment horizontal="left" vertical="center"/>
    </xf>
    <xf numFmtId="0" fontId="12" fillId="24" borderId="29" xfId="0" applyFont="1" applyFill="1" applyBorder="1" applyAlignment="1">
      <alignment horizontal="center"/>
    </xf>
    <xf numFmtId="0" fontId="38" fillId="0" borderId="0" xfId="0" applyFont="1" applyAlignment="1">
      <alignment horizontal="right"/>
    </xf>
    <xf numFmtId="0" fontId="38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9" fillId="3" borderId="35" xfId="0" applyFont="1" applyFill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10" fontId="2" fillId="0" borderId="41" xfId="1" applyNumberFormat="1" applyFont="1" applyBorder="1" applyAlignment="1">
      <alignment horizontal="center" vertical="center"/>
    </xf>
    <xf numFmtId="10" fontId="2" fillId="0" borderId="42" xfId="1" applyNumberFormat="1" applyFont="1" applyBorder="1" applyAlignment="1">
      <alignment horizontal="center" vertical="center"/>
    </xf>
    <xf numFmtId="0" fontId="2" fillId="16" borderId="41" xfId="1" applyFont="1" applyFill="1" applyBorder="1" applyAlignment="1">
      <alignment horizontal="center" vertical="center"/>
    </xf>
    <xf numFmtId="0" fontId="2" fillId="16" borderId="42" xfId="1" applyFont="1" applyFill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39" fillId="25" borderId="29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12" fillId="21" borderId="24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12" fillId="22" borderId="24" xfId="0" applyFont="1" applyFill="1" applyBorder="1" applyAlignment="1">
      <alignment horizontal="center"/>
    </xf>
    <xf numFmtId="0" fontId="12" fillId="24" borderId="24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0" fontId="2" fillId="0" borderId="24" xfId="1" applyNumberFormat="1" applyFont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1" fillId="13" borderId="24" xfId="1" applyFont="1" applyFill="1" applyBorder="1" applyAlignment="1">
      <alignment horizontal="center" vertical="center"/>
    </xf>
    <xf numFmtId="0" fontId="42" fillId="13" borderId="24" xfId="1" applyFont="1" applyFill="1" applyBorder="1" applyAlignment="1">
      <alignment horizontal="center" vertical="center" wrapText="1"/>
    </xf>
    <xf numFmtId="0" fontId="40" fillId="16" borderId="24" xfId="1" applyFont="1" applyFill="1" applyBorder="1" applyAlignment="1">
      <alignment horizontal="center" vertical="center"/>
    </xf>
    <xf numFmtId="0" fontId="40" fillId="16" borderId="28" xfId="1" applyFont="1" applyFill="1" applyBorder="1" applyAlignment="1">
      <alignment horizontal="center" vertical="center"/>
    </xf>
    <xf numFmtId="0" fontId="43" fillId="0" borderId="24" xfId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42" fillId="13" borderId="28" xfId="1" applyFont="1" applyFill="1" applyBorder="1" applyAlignment="1">
      <alignment horizontal="center" vertical="center" wrapText="1"/>
    </xf>
    <xf numFmtId="0" fontId="40" fillId="16" borderId="41" xfId="1" applyFont="1" applyFill="1" applyBorder="1" applyAlignment="1">
      <alignment horizontal="center" vertical="center"/>
    </xf>
    <xf numFmtId="0" fontId="1" fillId="13" borderId="41" xfId="1" applyFill="1" applyBorder="1" applyAlignment="1">
      <alignment horizontal="center" vertical="center"/>
    </xf>
    <xf numFmtId="0" fontId="16" fillId="16" borderId="42" xfId="1" applyFont="1" applyFill="1" applyBorder="1" applyAlignment="1">
      <alignment horizontal="center" vertical="center"/>
    </xf>
    <xf numFmtId="0" fontId="1" fillId="13" borderId="42" xfId="1" applyFill="1" applyBorder="1" applyAlignment="1">
      <alignment horizontal="center" vertical="center"/>
    </xf>
    <xf numFmtId="0" fontId="26" fillId="13" borderId="28" xfId="1" applyFont="1" applyFill="1" applyBorder="1" applyAlignment="1">
      <alignment horizontal="center" vertical="center"/>
    </xf>
    <xf numFmtId="0" fontId="0" fillId="13" borderId="0" xfId="1" applyFont="1" applyFill="1" applyAlignment="1">
      <alignment horizontal="center" vertical="center"/>
    </xf>
    <xf numFmtId="0" fontId="0" fillId="13" borderId="24" xfId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26" fillId="13" borderId="27" xfId="1" applyFont="1" applyFill="1" applyBorder="1" applyAlignment="1">
      <alignment horizontal="center" vertical="center"/>
    </xf>
    <xf numFmtId="0" fontId="26" fillId="0" borderId="41" xfId="1" applyFont="1" applyBorder="1" applyAlignment="1">
      <alignment horizontal="center" vertical="center"/>
    </xf>
    <xf numFmtId="0" fontId="26" fillId="0" borderId="42" xfId="1" applyFont="1" applyBorder="1" applyAlignment="1">
      <alignment horizontal="center" vertical="center"/>
    </xf>
    <xf numFmtId="0" fontId="26" fillId="13" borderId="24" xfId="1" applyFont="1" applyFill="1" applyBorder="1" applyAlignment="1">
      <alignment horizontal="center" vertical="center" wrapText="1"/>
    </xf>
    <xf numFmtId="0" fontId="47" fillId="28" borderId="24" xfId="0" applyFont="1" applyFill="1" applyBorder="1" applyAlignment="1">
      <alignment horizontal="center" vertical="center" wrapText="1"/>
    </xf>
    <xf numFmtId="0" fontId="32" fillId="28" borderId="32" xfId="0" applyFont="1" applyFill="1" applyBorder="1" applyAlignment="1">
      <alignment vertical="center"/>
    </xf>
    <xf numFmtId="0" fontId="32" fillId="28" borderId="33" xfId="0" applyFont="1" applyFill="1" applyBorder="1" applyAlignment="1">
      <alignment vertical="center"/>
    </xf>
    <xf numFmtId="0" fontId="32" fillId="28" borderId="45" xfId="0" applyFont="1" applyFill="1" applyBorder="1" applyAlignment="1">
      <alignment vertical="center"/>
    </xf>
    <xf numFmtId="20" fontId="48" fillId="28" borderId="29" xfId="0" applyNumberFormat="1" applyFont="1" applyFill="1" applyBorder="1" applyAlignment="1">
      <alignment horizontal="center" vertical="center"/>
    </xf>
    <xf numFmtId="0" fontId="49" fillId="28" borderId="5" xfId="0" applyFont="1" applyFill="1" applyBorder="1" applyAlignment="1">
      <alignment horizontal="center" vertical="center"/>
    </xf>
    <xf numFmtId="20" fontId="48" fillId="28" borderId="1" xfId="1" applyNumberFormat="1" applyFont="1" applyFill="1" applyBorder="1" applyAlignment="1">
      <alignment horizontal="center" vertical="center"/>
    </xf>
    <xf numFmtId="20" fontId="48" fillId="28" borderId="25" xfId="1" applyNumberFormat="1" applyFont="1" applyFill="1" applyBorder="1" applyAlignment="1">
      <alignment horizontal="center" vertical="center"/>
    </xf>
    <xf numFmtId="20" fontId="48" fillId="28" borderId="31" xfId="1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wrapText="1"/>
    </xf>
    <xf numFmtId="0" fontId="11" fillId="13" borderId="24" xfId="1" applyFont="1" applyFill="1" applyBorder="1" applyAlignment="1">
      <alignment horizontal="center" vertical="center"/>
    </xf>
    <xf numFmtId="0" fontId="26" fillId="13" borderId="42" xfId="1" applyFont="1" applyFill="1" applyBorder="1" applyAlignment="1">
      <alignment horizontal="center" vertical="center" wrapText="1"/>
    </xf>
    <xf numFmtId="0" fontId="26" fillId="13" borderId="42" xfId="1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26" fillId="13" borderId="43" xfId="1" applyFont="1" applyFill="1" applyBorder="1" applyAlignment="1">
      <alignment horizontal="center" vertical="center" wrapText="1"/>
    </xf>
    <xf numFmtId="0" fontId="26" fillId="13" borderId="41" xfId="1" applyFont="1" applyFill="1" applyBorder="1" applyAlignment="1">
      <alignment horizontal="center" vertical="center" wrapText="1"/>
    </xf>
    <xf numFmtId="0" fontId="3" fillId="13" borderId="24" xfId="0" applyFont="1" applyFill="1" applyBorder="1" applyAlignment="1">
      <alignment horizontal="center"/>
    </xf>
    <xf numFmtId="0" fontId="11" fillId="13" borderId="24" xfId="0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wrapText="1"/>
    </xf>
    <xf numFmtId="0" fontId="26" fillId="13" borderId="47" xfId="1" applyFont="1" applyFill="1" applyBorder="1" applyAlignment="1">
      <alignment horizontal="center" vertical="center" wrapText="1"/>
    </xf>
    <xf numFmtId="0" fontId="26" fillId="13" borderId="51" xfId="1" applyFont="1" applyFill="1" applyBorder="1" applyAlignment="1">
      <alignment horizontal="center" vertical="center"/>
    </xf>
    <xf numFmtId="0" fontId="26" fillId="13" borderId="49" xfId="1" applyFont="1" applyFill="1" applyBorder="1" applyAlignment="1">
      <alignment horizontal="center" vertical="center"/>
    </xf>
    <xf numFmtId="0" fontId="26" fillId="13" borderId="1" xfId="1" applyFont="1" applyFill="1" applyBorder="1" applyAlignment="1">
      <alignment horizontal="center" vertical="center"/>
    </xf>
    <xf numFmtId="0" fontId="26" fillId="0" borderId="24" xfId="1" applyFont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wrapText="1"/>
    </xf>
    <xf numFmtId="0" fontId="26" fillId="0" borderId="27" xfId="1" applyFont="1" applyBorder="1" applyAlignment="1">
      <alignment horizontal="center" vertical="center"/>
    </xf>
    <xf numFmtId="0" fontId="11" fillId="4" borderId="28" xfId="0" applyFont="1" applyFill="1" applyBorder="1" applyAlignment="1">
      <alignment horizontal="center" wrapText="1"/>
    </xf>
    <xf numFmtId="0" fontId="26" fillId="0" borderId="43" xfId="1" applyFont="1" applyBorder="1" applyAlignment="1">
      <alignment horizontal="center" vertical="center"/>
    </xf>
    <xf numFmtId="0" fontId="3" fillId="0" borderId="24" xfId="0" applyFont="1" applyBorder="1"/>
    <xf numFmtId="0" fontId="1" fillId="0" borderId="41" xfId="1" applyBorder="1" applyAlignment="1">
      <alignment horizontal="center" vertical="center"/>
    </xf>
    <xf numFmtId="0" fontId="26" fillId="0" borderId="28" xfId="1" applyFont="1" applyBorder="1" applyAlignment="1">
      <alignment horizontal="center" vertical="center"/>
    </xf>
    <xf numFmtId="0" fontId="26" fillId="0" borderId="41" xfId="1" applyFont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wrapText="1"/>
    </xf>
    <xf numFmtId="0" fontId="26" fillId="13" borderId="49" xfId="1" applyFont="1" applyFill="1" applyBorder="1" applyAlignment="1">
      <alignment horizontal="center" vertical="center" wrapText="1"/>
    </xf>
    <xf numFmtId="0" fontId="11" fillId="13" borderId="27" xfId="0" applyFont="1" applyFill="1" applyBorder="1" applyAlignment="1">
      <alignment horizontal="center" vertical="center"/>
    </xf>
    <xf numFmtId="0" fontId="26" fillId="13" borderId="48" xfId="1" applyFont="1" applyFill="1" applyBorder="1" applyAlignment="1">
      <alignment horizontal="center" vertical="center"/>
    </xf>
    <xf numFmtId="0" fontId="1" fillId="13" borderId="28" xfId="1" applyFill="1" applyBorder="1" applyAlignment="1">
      <alignment horizontal="center" vertical="center"/>
    </xf>
    <xf numFmtId="0" fontId="26" fillId="13" borderId="41" xfId="1" applyFont="1" applyFill="1" applyBorder="1" applyAlignment="1">
      <alignment horizontal="center" vertical="center"/>
    </xf>
    <xf numFmtId="0" fontId="11" fillId="13" borderId="42" xfId="0" applyFont="1" applyFill="1" applyBorder="1" applyAlignment="1">
      <alignment horizontal="center" vertical="center" wrapText="1"/>
    </xf>
    <xf numFmtId="0" fontId="11" fillId="14" borderId="24" xfId="0" applyFont="1" applyFill="1" applyBorder="1" applyAlignment="1">
      <alignment horizontal="center" vertical="center"/>
    </xf>
    <xf numFmtId="0" fontId="11" fillId="13" borderId="47" xfId="0" applyFont="1" applyFill="1" applyBorder="1" applyAlignment="1">
      <alignment horizontal="center" vertical="center"/>
    </xf>
    <xf numFmtId="0" fontId="1" fillId="13" borderId="27" xfId="1" applyFill="1" applyBorder="1" applyAlignment="1">
      <alignment horizontal="center" vertical="center"/>
    </xf>
    <xf numFmtId="0" fontId="26" fillId="13" borderId="24" xfId="1" applyFont="1" applyFill="1" applyBorder="1" applyAlignment="1">
      <alignment vertical="center"/>
    </xf>
    <xf numFmtId="0" fontId="11" fillId="13" borderId="42" xfId="0" applyFont="1" applyFill="1" applyBorder="1" applyAlignment="1">
      <alignment horizontal="center" vertical="center"/>
    </xf>
    <xf numFmtId="0" fontId="11" fillId="13" borderId="41" xfId="0" applyFont="1" applyFill="1" applyBorder="1" applyAlignment="1">
      <alignment horizontal="center" vertical="center"/>
    </xf>
    <xf numFmtId="0" fontId="26" fillId="13" borderId="42" xfId="1" applyFont="1" applyFill="1" applyBorder="1" applyAlignment="1">
      <alignment vertical="center"/>
    </xf>
    <xf numFmtId="0" fontId="26" fillId="13" borderId="28" xfId="1" applyFont="1" applyFill="1" applyBorder="1" applyAlignment="1">
      <alignment horizontal="center" vertical="center" wrapText="1"/>
    </xf>
    <xf numFmtId="0" fontId="26" fillId="13" borderId="48" xfId="1" applyFont="1" applyFill="1" applyBorder="1" applyAlignment="1">
      <alignment horizontal="center" vertical="center" wrapText="1"/>
    </xf>
    <xf numFmtId="0" fontId="11" fillId="13" borderId="28" xfId="0" applyFont="1" applyFill="1" applyBorder="1" applyAlignment="1">
      <alignment horizontal="center" vertical="center"/>
    </xf>
    <xf numFmtId="0" fontId="26" fillId="0" borderId="49" xfId="1" applyFont="1" applyBorder="1" applyAlignment="1">
      <alignment horizontal="center" vertical="center"/>
    </xf>
    <xf numFmtId="0" fontId="26" fillId="4" borderId="42" xfId="1" applyFont="1" applyFill="1" applyBorder="1" applyAlignment="1">
      <alignment horizontal="center" vertical="center" wrapText="1"/>
    </xf>
    <xf numFmtId="0" fontId="26" fillId="4" borderId="24" xfId="1" applyFont="1" applyFill="1" applyBorder="1" applyAlignment="1">
      <alignment horizontal="center" vertical="center" wrapText="1"/>
    </xf>
    <xf numFmtId="0" fontId="11" fillId="13" borderId="43" xfId="0" applyFont="1" applyFill="1" applyBorder="1" applyAlignment="1">
      <alignment horizontal="center" vertical="center" wrapText="1"/>
    </xf>
    <xf numFmtId="0" fontId="26" fillId="13" borderId="0" xfId="1" applyFont="1" applyFill="1" applyAlignment="1">
      <alignment horizontal="center" vertical="center"/>
    </xf>
    <xf numFmtId="0" fontId="11" fillId="13" borderId="27" xfId="0" applyFont="1" applyFill="1" applyBorder="1" applyAlignment="1">
      <alignment horizontal="center" vertical="center" wrapText="1"/>
    </xf>
    <xf numFmtId="0" fontId="11" fillId="13" borderId="49" xfId="0" applyFont="1" applyFill="1" applyBorder="1" applyAlignment="1">
      <alignment horizontal="center" vertical="center"/>
    </xf>
    <xf numFmtId="0" fontId="1" fillId="13" borderId="24" xfId="1" applyFill="1" applyBorder="1" applyAlignment="1">
      <alignment horizontal="center" vertical="center" wrapText="1"/>
    </xf>
    <xf numFmtId="0" fontId="11" fillId="13" borderId="42" xfId="0" applyFont="1" applyFill="1" applyBorder="1" applyAlignment="1">
      <alignment horizontal="center"/>
    </xf>
    <xf numFmtId="0" fontId="11" fillId="14" borderId="24" xfId="0" applyFont="1" applyFill="1" applyBorder="1" applyAlignment="1">
      <alignment horizontal="center" wrapText="1"/>
    </xf>
    <xf numFmtId="0" fontId="3" fillId="14" borderId="27" xfId="0" applyFont="1" applyFill="1" applyBorder="1" applyAlignment="1">
      <alignment wrapText="1"/>
    </xf>
    <xf numFmtId="0" fontId="11" fillId="0" borderId="24" xfId="0" applyFont="1" applyBorder="1" applyAlignment="1">
      <alignment horizontal="center" vertical="center"/>
    </xf>
    <xf numFmtId="0" fontId="26" fillId="13" borderId="52" xfId="1" applyFont="1" applyFill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1" fillId="0" borderId="27" xfId="1" applyBorder="1" applyAlignment="1">
      <alignment horizontal="center" vertical="center"/>
    </xf>
    <xf numFmtId="0" fontId="26" fillId="26" borderId="24" xfId="1" applyFont="1" applyFill="1" applyBorder="1" applyAlignment="1">
      <alignment horizontal="center" vertical="center"/>
    </xf>
    <xf numFmtId="0" fontId="26" fillId="13" borderId="27" xfId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13" borderId="28" xfId="0" applyFont="1" applyFill="1" applyBorder="1" applyAlignment="1">
      <alignment horizontal="center" vertical="center" wrapText="1"/>
    </xf>
    <xf numFmtId="0" fontId="3" fillId="27" borderId="24" xfId="0" applyFont="1" applyFill="1" applyBorder="1" applyAlignment="1">
      <alignment horizontal="center" vertical="center" wrapText="1"/>
    </xf>
    <xf numFmtId="0" fontId="26" fillId="13" borderId="44" xfId="1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25" fillId="13" borderId="24" xfId="0" applyFont="1" applyFill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6" fillId="0" borderId="43" xfId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6" fillId="26" borderId="24" xfId="1" applyFont="1" applyFill="1" applyBorder="1" applyAlignment="1">
      <alignment horizontal="center" vertical="center" wrapText="1"/>
    </xf>
    <xf numFmtId="0" fontId="26" fillId="6" borderId="24" xfId="1" applyFont="1" applyFill="1" applyBorder="1" applyAlignment="1">
      <alignment horizontal="center" vertical="center" wrapText="1"/>
    </xf>
    <xf numFmtId="0" fontId="11" fillId="13" borderId="42" xfId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0" fillId="13" borderId="24" xfId="1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26" fillId="6" borderId="24" xfId="1" applyFont="1" applyFill="1" applyBorder="1" applyAlignment="1">
      <alignment horizontal="center" vertical="center"/>
    </xf>
    <xf numFmtId="0" fontId="44" fillId="0" borderId="24" xfId="0" applyFont="1" applyBorder="1" applyAlignment="1">
      <alignment horizontal="center" vertical="center" wrapText="1"/>
    </xf>
    <xf numFmtId="0" fontId="1" fillId="6" borderId="24" xfId="1" applyFill="1" applyBorder="1" applyAlignment="1">
      <alignment horizontal="center" vertical="center"/>
    </xf>
    <xf numFmtId="0" fontId="26" fillId="29" borderId="24" xfId="1" applyFont="1" applyFill="1" applyBorder="1" applyAlignment="1">
      <alignment horizontal="center" vertical="center" wrapText="1"/>
    </xf>
    <xf numFmtId="0" fontId="50" fillId="6" borderId="24" xfId="1" applyFont="1" applyFill="1" applyBorder="1" applyAlignment="1">
      <alignment horizontal="center" vertical="center"/>
    </xf>
    <xf numFmtId="0" fontId="26" fillId="6" borderId="42" xfId="1" applyFont="1" applyFill="1" applyBorder="1" applyAlignment="1">
      <alignment horizontal="center" vertical="center"/>
    </xf>
    <xf numFmtId="0" fontId="26" fillId="6" borderId="28" xfId="1" applyFont="1" applyFill="1" applyBorder="1" applyAlignment="1">
      <alignment horizontal="center" vertical="center" wrapText="1"/>
    </xf>
    <xf numFmtId="0" fontId="26" fillId="6" borderId="42" xfId="1" applyFont="1" applyFill="1" applyBorder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/>
    </xf>
    <xf numFmtId="0" fontId="25" fillId="13" borderId="41" xfId="0" applyFont="1" applyFill="1" applyBorder="1" applyAlignment="1">
      <alignment horizontal="center" vertical="center"/>
    </xf>
    <xf numFmtId="0" fontId="25" fillId="13" borderId="42" xfId="0" applyFont="1" applyFill="1" applyBorder="1" applyAlignment="1">
      <alignment horizontal="center" vertical="center"/>
    </xf>
    <xf numFmtId="0" fontId="26" fillId="0" borderId="48" xfId="1" applyFont="1" applyBorder="1" applyAlignment="1">
      <alignment horizontal="center" vertical="center"/>
    </xf>
    <xf numFmtId="0" fontId="44" fillId="13" borderId="24" xfId="0" applyFont="1" applyFill="1" applyBorder="1" applyAlignment="1">
      <alignment horizontal="center" vertical="center"/>
    </xf>
    <xf numFmtId="0" fontId="26" fillId="13" borderId="47" xfId="1" applyFont="1" applyFill="1" applyBorder="1" applyAlignment="1">
      <alignment horizontal="center" vertical="center"/>
    </xf>
    <xf numFmtId="0" fontId="26" fillId="30" borderId="27" xfId="1" applyFont="1" applyFill="1" applyBorder="1" applyAlignment="1">
      <alignment horizontal="center" vertical="center"/>
    </xf>
    <xf numFmtId="0" fontId="26" fillId="30" borderId="24" xfId="1" applyFont="1" applyFill="1" applyBorder="1" applyAlignment="1">
      <alignment horizontal="center" vertical="center"/>
    </xf>
    <xf numFmtId="0" fontId="26" fillId="6" borderId="43" xfId="1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42" xfId="1" applyFont="1" applyFill="1" applyBorder="1" applyAlignment="1">
      <alignment horizontal="center" vertical="center"/>
    </xf>
    <xf numFmtId="0" fontId="26" fillId="30" borderId="27" xfId="0" applyFont="1" applyFill="1" applyBorder="1" applyAlignment="1">
      <alignment horizontal="center" vertical="center"/>
    </xf>
    <xf numFmtId="0" fontId="26" fillId="30" borderId="41" xfId="0" applyFont="1" applyFill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25" fillId="13" borderId="27" xfId="0" applyFont="1" applyFill="1" applyBorder="1" applyAlignment="1">
      <alignment horizontal="center" vertical="center"/>
    </xf>
    <xf numFmtId="12" fontId="1" fillId="0" borderId="0" xfId="1" applyNumberFormat="1" applyAlignment="1">
      <alignment horizontal="center" vertical="center"/>
    </xf>
    <xf numFmtId="0" fontId="11" fillId="13" borderId="41" xfId="0" applyFont="1" applyFill="1" applyBorder="1" applyAlignment="1">
      <alignment horizontal="center" vertical="center" wrapText="1"/>
    </xf>
    <xf numFmtId="0" fontId="42" fillId="13" borderId="27" xfId="1" applyFont="1" applyFill="1" applyBorder="1" applyAlignment="1">
      <alignment horizontal="center" vertical="center"/>
    </xf>
    <xf numFmtId="0" fontId="11" fillId="30" borderId="2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0" fillId="13" borderId="24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35" fillId="0" borderId="29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26" fillId="0" borderId="51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1" fillId="4" borderId="24" xfId="1" applyFill="1" applyBorder="1" applyAlignment="1">
      <alignment horizontal="center" vertical="center"/>
    </xf>
    <xf numFmtId="0" fontId="11" fillId="31" borderId="24" xfId="1" applyFont="1" applyFill="1" applyBorder="1" applyAlignment="1">
      <alignment horizontal="center" vertical="center"/>
    </xf>
    <xf numFmtId="0" fontId="25" fillId="30" borderId="24" xfId="0" applyFont="1" applyFill="1" applyBorder="1"/>
    <xf numFmtId="0" fontId="25" fillId="30" borderId="28" xfId="0" applyFont="1" applyFill="1" applyBorder="1" applyAlignment="1">
      <alignment horizontal="center" wrapText="1"/>
    </xf>
    <xf numFmtId="0" fontId="2" fillId="0" borderId="24" xfId="1" applyFont="1" applyBorder="1" applyAlignment="1">
      <alignment horizontal="center" vertical="center"/>
    </xf>
    <xf numFmtId="0" fontId="2" fillId="13" borderId="28" xfId="1" applyFont="1" applyFill="1" applyBorder="1" applyAlignment="1">
      <alignment horizontal="center" vertical="center"/>
    </xf>
    <xf numFmtId="0" fontId="2" fillId="13" borderId="44" xfId="1" applyFont="1" applyFill="1" applyBorder="1" applyAlignment="1">
      <alignment horizontal="center" vertical="center"/>
    </xf>
    <xf numFmtId="0" fontId="2" fillId="13" borderId="27" xfId="1" applyFont="1" applyFill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2" fillId="16" borderId="24" xfId="1" applyFont="1" applyFill="1" applyBorder="1" applyAlignment="1">
      <alignment horizontal="center" vertical="center"/>
    </xf>
    <xf numFmtId="0" fontId="2" fillId="0" borderId="40" xfId="2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2" fillId="0" borderId="39" xfId="2" applyFont="1" applyBorder="1" applyAlignment="1">
      <alignment horizontal="center" vertical="center"/>
    </xf>
    <xf numFmtId="0" fontId="0" fillId="0" borderId="19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12" xfId="2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27" fillId="15" borderId="15" xfId="0" applyFont="1" applyFill="1" applyBorder="1" applyAlignment="1">
      <alignment horizontal="center"/>
    </xf>
    <xf numFmtId="0" fontId="27" fillId="15" borderId="8" xfId="0" applyFont="1" applyFill="1" applyBorder="1" applyAlignment="1">
      <alignment horizontal="center"/>
    </xf>
    <xf numFmtId="0" fontId="27" fillId="15" borderId="6" xfId="0" applyFont="1" applyFill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0" fillId="27" borderId="33" xfId="0" applyFont="1" applyFill="1" applyBorder="1" applyAlignment="1">
      <alignment horizontal="center" vertical="center"/>
    </xf>
    <xf numFmtId="0" fontId="20" fillId="27" borderId="34" xfId="0" applyFont="1" applyFill="1" applyBorder="1" applyAlignment="1">
      <alignment horizontal="center" vertical="center"/>
    </xf>
    <xf numFmtId="0" fontId="20" fillId="28" borderId="33" xfId="0" applyFont="1" applyFill="1" applyBorder="1" applyAlignment="1">
      <alignment horizontal="center" vertical="center"/>
    </xf>
    <xf numFmtId="0" fontId="20" fillId="28" borderId="34" xfId="0" applyFont="1" applyFill="1" applyBorder="1" applyAlignment="1">
      <alignment horizontal="center" vertical="center"/>
    </xf>
    <xf numFmtId="0" fontId="32" fillId="28" borderId="32" xfId="0" applyFont="1" applyFill="1" applyBorder="1" applyAlignment="1">
      <alignment vertical="center"/>
    </xf>
    <xf numFmtId="0" fontId="32" fillId="28" borderId="33" xfId="0" applyFont="1" applyFill="1" applyBorder="1" applyAlignment="1">
      <alignment vertical="center"/>
    </xf>
    <xf numFmtId="0" fontId="32" fillId="28" borderId="45" xfId="0" applyFont="1" applyFill="1" applyBorder="1" applyAlignment="1">
      <alignment vertical="center"/>
    </xf>
    <xf numFmtId="0" fontId="20" fillId="28" borderId="32" xfId="0" applyFont="1" applyFill="1" applyBorder="1" applyAlignment="1">
      <alignment horizontal="center" vertical="center"/>
    </xf>
    <xf numFmtId="0" fontId="20" fillId="17" borderId="33" xfId="0" applyFont="1" applyFill="1" applyBorder="1" applyAlignment="1">
      <alignment horizontal="center" vertical="center"/>
    </xf>
    <xf numFmtId="0" fontId="20" fillId="17" borderId="34" xfId="0" applyFont="1" applyFill="1" applyBorder="1" applyAlignment="1">
      <alignment horizontal="center" vertical="center"/>
    </xf>
    <xf numFmtId="0" fontId="20" fillId="28" borderId="32" xfId="0" applyFont="1" applyFill="1" applyBorder="1" applyAlignment="1">
      <alignment vertical="center"/>
    </xf>
    <xf numFmtId="0" fontId="20" fillId="28" borderId="33" xfId="0" applyFont="1" applyFill="1" applyBorder="1" applyAlignment="1">
      <alignment vertical="center"/>
    </xf>
    <xf numFmtId="0" fontId="20" fillId="28" borderId="34" xfId="0" applyFont="1" applyFill="1" applyBorder="1" applyAlignment="1">
      <alignment vertical="center"/>
    </xf>
    <xf numFmtId="0" fontId="45" fillId="28" borderId="32" xfId="0" applyFont="1" applyFill="1" applyBorder="1" applyAlignment="1">
      <alignment vertical="center"/>
    </xf>
    <xf numFmtId="0" fontId="46" fillId="28" borderId="32" xfId="0" applyFont="1" applyFill="1" applyBorder="1" applyAlignment="1">
      <alignment vertic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14" fillId="15" borderId="6" xfId="0" applyFont="1" applyFill="1" applyBorder="1" applyAlignment="1">
      <alignment horizontal="center"/>
    </xf>
    <xf numFmtId="0" fontId="14" fillId="15" borderId="8" xfId="0" applyFont="1" applyFill="1" applyBorder="1" applyAlignment="1">
      <alignment horizontal="center"/>
    </xf>
    <xf numFmtId="0" fontId="14" fillId="15" borderId="16" xfId="0" applyFont="1" applyFill="1" applyBorder="1" applyAlignment="1">
      <alignment horizontal="center"/>
    </xf>
    <xf numFmtId="0" fontId="14" fillId="15" borderId="6" xfId="0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horizontal="center" vertical="center"/>
    </xf>
    <xf numFmtId="0" fontId="14" fillId="15" borderId="7" xfId="0" applyFont="1" applyFill="1" applyBorder="1" applyAlignment="1">
      <alignment horizontal="center" vertical="center"/>
    </xf>
    <xf numFmtId="0" fontId="14" fillId="15" borderId="15" xfId="0" applyFont="1" applyFill="1" applyBorder="1" applyAlignment="1">
      <alignment horizontal="center"/>
    </xf>
    <xf numFmtId="0" fontId="14" fillId="15" borderId="7" xfId="0" applyFont="1" applyFill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4" fillId="0" borderId="12" xfId="0" applyFont="1" applyBorder="1" applyAlignment="1"/>
    <xf numFmtId="0" fontId="24" fillId="0" borderId="13" xfId="0" applyFont="1" applyBorder="1" applyAlignment="1"/>
    <xf numFmtId="0" fontId="0" fillId="28" borderId="53" xfId="0" applyFill="1" applyBorder="1" applyAlignment="1"/>
  </cellXfs>
  <cellStyles count="4">
    <cellStyle name="Hyperlink" xfId="3" xr:uid="{00000000-000B-0000-0000-000008000000}"/>
    <cellStyle name="Normal" xfId="0" builtinId="0"/>
    <cellStyle name="Normal 2" xfId="1" xr:uid="{8033E56D-D5BA-E249-9B8C-799A01494B53}"/>
    <cellStyle name="Normal 2 2" xfId="2" xr:uid="{CC4027BE-C85B-E346-AC54-6F9C8FD8B430}"/>
  </cellStyles>
  <dxfs count="0"/>
  <tableStyles count="0" defaultTableStyle="TableStyleMedium2" defaultPivotStyle="PivotStyleLight16"/>
  <colors>
    <mruColors>
      <color rgb="FFE7E6E6"/>
      <color rgb="FF9A7BB0"/>
      <color rgb="FFD4A1C4"/>
      <color rgb="FF7B46A3"/>
      <color rgb="FFF089CF"/>
      <color rgb="FFF000A4"/>
      <color rgb="FF70E0BD"/>
      <color rgb="FF8C5AB0"/>
      <color rgb="FF675475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6A73-CCB0-41F4-8700-3D1D76A644BC}">
  <sheetPr>
    <pageSetUpPr fitToPage="1"/>
  </sheetPr>
  <dimension ref="A1:Q60"/>
  <sheetViews>
    <sheetView view="pageBreakPreview" zoomScale="85" zoomScaleNormal="70" zoomScaleSheetLayoutView="85" workbookViewId="0">
      <selection activeCell="Q14" sqref="O14:Q14"/>
    </sheetView>
  </sheetViews>
  <sheetFormatPr defaultColWidth="8.875" defaultRowHeight="15.95"/>
  <cols>
    <col min="1" max="1" width="12.875" style="68" customWidth="1"/>
    <col min="2" max="2" width="11" bestFit="1" customWidth="1"/>
    <col min="3" max="3" width="11.125" customWidth="1"/>
    <col min="4" max="4" width="10.625" customWidth="1"/>
    <col min="5" max="5" width="10.5" customWidth="1"/>
    <col min="7" max="7" width="11.125" style="68" customWidth="1"/>
    <col min="8" max="8" width="10.625" customWidth="1"/>
    <col min="9" max="9" width="11.125" customWidth="1"/>
    <col min="10" max="10" width="10.625" customWidth="1"/>
    <col min="11" max="11" width="11.125" customWidth="1"/>
    <col min="13" max="13" width="11.125" style="68" customWidth="1"/>
    <col min="15" max="15" width="10.375" customWidth="1"/>
    <col min="16" max="17" width="10.625" customWidth="1"/>
  </cols>
  <sheetData>
    <row r="1" spans="1:17">
      <c r="A1" s="380" t="s">
        <v>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</row>
    <row r="2" spans="1:17" s="68" customFormat="1">
      <c r="A2" s="347" t="s">
        <v>1</v>
      </c>
      <c r="B2" s="348"/>
      <c r="C2" s="348"/>
      <c r="D2" s="348"/>
      <c r="E2" s="348"/>
      <c r="F2" s="54"/>
      <c r="G2" s="349" t="s">
        <v>2</v>
      </c>
      <c r="H2" s="348"/>
      <c r="I2" s="348"/>
      <c r="J2" s="348"/>
      <c r="K2" s="348"/>
      <c r="L2" s="55"/>
      <c r="M2" s="349" t="s">
        <v>3</v>
      </c>
      <c r="N2" s="348"/>
      <c r="O2" s="348"/>
      <c r="P2" s="348"/>
      <c r="Q2" s="348"/>
    </row>
    <row r="3" spans="1:17" ht="24">
      <c r="A3" s="75" t="s">
        <v>4</v>
      </c>
      <c r="B3" s="76"/>
      <c r="C3" s="149" t="s">
        <v>5</v>
      </c>
      <c r="D3" s="150" t="s">
        <v>6</v>
      </c>
      <c r="E3" s="77"/>
      <c r="F3" s="78"/>
      <c r="G3" s="79" t="s">
        <v>4</v>
      </c>
      <c r="H3" s="77"/>
      <c r="I3" s="149" t="s">
        <v>5</v>
      </c>
      <c r="J3" s="150" t="s">
        <v>6</v>
      </c>
      <c r="K3" s="77"/>
      <c r="L3" s="3"/>
      <c r="M3" s="79" t="s">
        <v>4</v>
      </c>
      <c r="N3" s="80"/>
      <c r="O3" s="149" t="s">
        <v>5</v>
      </c>
      <c r="P3" s="150" t="s">
        <v>6</v>
      </c>
      <c r="Q3" s="81"/>
    </row>
    <row r="4" spans="1:17">
      <c r="A4" s="145" t="s">
        <v>7</v>
      </c>
      <c r="B4" s="82" t="s">
        <v>8</v>
      </c>
      <c r="C4" s="82"/>
      <c r="D4" s="82"/>
      <c r="E4" s="83"/>
      <c r="F4" s="6"/>
      <c r="G4" s="143" t="s">
        <v>9</v>
      </c>
      <c r="H4" s="82" t="s">
        <v>10</v>
      </c>
      <c r="I4" s="82">
        <v>35</v>
      </c>
      <c r="J4" s="82">
        <v>30</v>
      </c>
      <c r="K4" s="85" t="s">
        <v>11</v>
      </c>
      <c r="L4" s="3"/>
      <c r="M4" s="143" t="s">
        <v>12</v>
      </c>
      <c r="N4" s="82"/>
      <c r="O4" s="82">
        <v>30</v>
      </c>
      <c r="P4" s="82">
        <v>30</v>
      </c>
      <c r="Q4" s="140" t="s">
        <v>13</v>
      </c>
    </row>
    <row r="5" spans="1:17">
      <c r="A5" s="145" t="s">
        <v>14</v>
      </c>
      <c r="B5" s="87" t="s">
        <v>15</v>
      </c>
      <c r="C5" s="84">
        <v>30</v>
      </c>
      <c r="D5" s="82">
        <v>30</v>
      </c>
      <c r="E5" s="83" t="s">
        <v>16</v>
      </c>
      <c r="F5" s="6"/>
      <c r="G5" s="143" t="s">
        <v>17</v>
      </c>
      <c r="H5" s="82"/>
      <c r="I5" s="82">
        <v>30</v>
      </c>
      <c r="J5" s="82">
        <v>30</v>
      </c>
      <c r="K5" s="83" t="s">
        <v>16</v>
      </c>
      <c r="L5" s="3"/>
      <c r="M5" s="143" t="s">
        <v>18</v>
      </c>
      <c r="N5" s="82"/>
      <c r="O5" s="82">
        <v>30</v>
      </c>
      <c r="P5" s="82">
        <v>30</v>
      </c>
      <c r="Q5" s="140" t="s">
        <v>13</v>
      </c>
    </row>
    <row r="6" spans="1:17">
      <c r="A6" s="145" t="s">
        <v>19</v>
      </c>
      <c r="B6" s="87"/>
      <c r="C6" s="84">
        <v>57</v>
      </c>
      <c r="D6" s="82">
        <v>45</v>
      </c>
      <c r="E6" s="156" t="s">
        <v>20</v>
      </c>
      <c r="F6" s="6"/>
      <c r="G6" s="143" t="s">
        <v>21</v>
      </c>
      <c r="H6" s="82" t="s">
        <v>22</v>
      </c>
      <c r="I6" s="82">
        <v>30</v>
      </c>
      <c r="J6" s="82"/>
      <c r="K6" s="88" t="s">
        <v>23</v>
      </c>
      <c r="L6" s="3"/>
      <c r="M6" s="143" t="s">
        <v>24</v>
      </c>
      <c r="N6" s="82"/>
      <c r="O6" s="82">
        <v>30</v>
      </c>
      <c r="P6" s="82">
        <v>30</v>
      </c>
      <c r="Q6" s="88" t="s">
        <v>23</v>
      </c>
    </row>
    <row r="7" spans="1:17">
      <c r="A7" s="145" t="s">
        <v>25</v>
      </c>
      <c r="B7" s="87"/>
      <c r="C7" s="84">
        <v>37</v>
      </c>
      <c r="D7" s="84">
        <v>30</v>
      </c>
      <c r="E7" s="140" t="s">
        <v>13</v>
      </c>
      <c r="F7" s="6"/>
      <c r="G7" s="143" t="s">
        <v>26</v>
      </c>
      <c r="H7" s="82"/>
      <c r="I7" s="82">
        <v>50</v>
      </c>
      <c r="J7" s="82">
        <v>50</v>
      </c>
      <c r="K7" s="88" t="s">
        <v>23</v>
      </c>
      <c r="L7" s="3"/>
      <c r="M7" s="143" t="s">
        <v>27</v>
      </c>
      <c r="N7" s="82"/>
      <c r="O7" s="82">
        <v>45</v>
      </c>
      <c r="P7" s="82">
        <v>45</v>
      </c>
      <c r="Q7" s="86" t="s">
        <v>23</v>
      </c>
    </row>
    <row r="8" spans="1:17">
      <c r="A8" s="145" t="s">
        <v>28</v>
      </c>
      <c r="B8" s="87" t="s">
        <v>29</v>
      </c>
      <c r="C8" s="84">
        <v>34</v>
      </c>
      <c r="D8" s="84">
        <v>31</v>
      </c>
      <c r="E8" s="83" t="s">
        <v>16</v>
      </c>
      <c r="F8" s="6"/>
      <c r="G8" s="143" t="s">
        <v>30</v>
      </c>
      <c r="H8" s="82"/>
      <c r="I8" s="82">
        <v>50</v>
      </c>
      <c r="J8" s="82">
        <v>50</v>
      </c>
      <c r="K8" s="88" t="s">
        <v>23</v>
      </c>
      <c r="L8" s="3"/>
      <c r="M8" s="143" t="s">
        <v>31</v>
      </c>
      <c r="N8" s="82"/>
      <c r="O8" s="82">
        <v>25</v>
      </c>
      <c r="P8" s="82">
        <v>25</v>
      </c>
      <c r="Q8" s="86" t="s">
        <v>23</v>
      </c>
    </row>
    <row r="9" spans="1:17">
      <c r="A9" s="146" t="s">
        <v>32</v>
      </c>
      <c r="B9" s="90" t="s">
        <v>33</v>
      </c>
      <c r="C9" s="91">
        <v>20</v>
      </c>
      <c r="D9" s="91"/>
      <c r="E9" s="88" t="s">
        <v>23</v>
      </c>
      <c r="F9" s="6"/>
      <c r="G9" s="143" t="s">
        <v>34</v>
      </c>
      <c r="H9" s="82"/>
      <c r="I9" s="90">
        <v>45</v>
      </c>
      <c r="J9" s="90">
        <v>45</v>
      </c>
      <c r="K9" s="88" t="s">
        <v>23</v>
      </c>
      <c r="L9" s="3"/>
      <c r="M9" s="143" t="s">
        <v>35</v>
      </c>
      <c r="N9" s="82"/>
      <c r="O9" s="82">
        <v>30</v>
      </c>
      <c r="P9" s="82">
        <v>30</v>
      </c>
      <c r="Q9" s="86" t="s">
        <v>23</v>
      </c>
    </row>
    <row r="10" spans="1:17">
      <c r="A10" s="145" t="s">
        <v>36</v>
      </c>
      <c r="B10" s="87" t="s">
        <v>37</v>
      </c>
      <c r="C10" s="7">
        <v>70</v>
      </c>
      <c r="D10" s="92">
        <v>70</v>
      </c>
      <c r="E10" s="83" t="s">
        <v>16</v>
      </c>
      <c r="F10" s="6"/>
      <c r="G10" s="143" t="s">
        <v>38</v>
      </c>
      <c r="H10" s="82"/>
      <c r="I10" s="82">
        <v>30</v>
      </c>
      <c r="J10" s="82">
        <v>30</v>
      </c>
      <c r="K10" s="140" t="s">
        <v>13</v>
      </c>
      <c r="L10" s="3"/>
      <c r="M10" s="143" t="s">
        <v>39</v>
      </c>
      <c r="N10" s="82"/>
      <c r="O10" s="82">
        <v>30</v>
      </c>
      <c r="P10" s="82">
        <v>30</v>
      </c>
      <c r="Q10" s="86" t="s">
        <v>23</v>
      </c>
    </row>
    <row r="11" spans="1:17">
      <c r="A11" s="145" t="s">
        <v>40</v>
      </c>
      <c r="B11" s="87" t="s">
        <v>41</v>
      </c>
      <c r="C11" s="84">
        <v>40</v>
      </c>
      <c r="D11" s="82">
        <v>40</v>
      </c>
      <c r="E11" s="83" t="s">
        <v>16</v>
      </c>
      <c r="F11" s="6"/>
      <c r="G11" s="143" t="s">
        <v>42</v>
      </c>
      <c r="H11" s="82" t="s">
        <v>43</v>
      </c>
      <c r="I11" s="91">
        <v>30</v>
      </c>
      <c r="J11" s="91"/>
      <c r="K11" s="83" t="s">
        <v>16</v>
      </c>
      <c r="L11" s="3"/>
      <c r="M11" s="143" t="s">
        <v>44</v>
      </c>
      <c r="N11" s="82"/>
      <c r="O11" s="82">
        <v>40</v>
      </c>
      <c r="P11" s="82">
        <v>40</v>
      </c>
      <c r="Q11" s="86" t="s">
        <v>23</v>
      </c>
    </row>
    <row r="12" spans="1:17">
      <c r="A12" s="145" t="s">
        <v>45</v>
      </c>
      <c r="B12" s="87"/>
      <c r="C12" s="84">
        <v>85</v>
      </c>
      <c r="D12" s="82">
        <v>83</v>
      </c>
      <c r="E12" s="89" t="s">
        <v>46</v>
      </c>
      <c r="F12" s="6"/>
      <c r="G12" s="143" t="s">
        <v>47</v>
      </c>
      <c r="H12" s="82" t="s">
        <v>48</v>
      </c>
      <c r="I12" s="92">
        <v>30</v>
      </c>
      <c r="J12" s="92">
        <v>30</v>
      </c>
      <c r="K12" s="89" t="s">
        <v>49</v>
      </c>
      <c r="L12" s="3"/>
      <c r="M12" s="143" t="s">
        <v>50</v>
      </c>
      <c r="N12" s="82"/>
      <c r="O12" s="82">
        <v>40</v>
      </c>
      <c r="P12" s="82">
        <v>40</v>
      </c>
      <c r="Q12" s="86" t="s">
        <v>23</v>
      </c>
    </row>
    <row r="13" spans="1:17">
      <c r="A13" s="145" t="s">
        <v>51</v>
      </c>
      <c r="B13" s="87"/>
      <c r="C13" s="84">
        <v>88</v>
      </c>
      <c r="D13" s="82">
        <v>88</v>
      </c>
      <c r="E13" s="89" t="s">
        <v>46</v>
      </c>
      <c r="F13" s="6"/>
      <c r="G13" s="143" t="s">
        <v>52</v>
      </c>
      <c r="H13" s="82"/>
      <c r="I13" s="82">
        <v>40</v>
      </c>
      <c r="J13" s="82">
        <v>30</v>
      </c>
      <c r="K13" s="140" t="s">
        <v>13</v>
      </c>
      <c r="L13" s="3"/>
      <c r="M13" s="143" t="s">
        <v>53</v>
      </c>
      <c r="N13" s="82"/>
      <c r="O13" s="82">
        <v>60</v>
      </c>
      <c r="P13" s="82">
        <v>60</v>
      </c>
      <c r="Q13" s="93" t="s">
        <v>11</v>
      </c>
    </row>
    <row r="14" spans="1:17">
      <c r="A14" s="145" t="s">
        <v>54</v>
      </c>
      <c r="B14" s="87"/>
      <c r="C14" s="84">
        <v>88</v>
      </c>
      <c r="D14" s="82">
        <v>65</v>
      </c>
      <c r="E14" s="89" t="s">
        <v>46</v>
      </c>
      <c r="F14" s="6"/>
      <c r="G14" s="143" t="s">
        <v>55</v>
      </c>
      <c r="H14" s="82"/>
      <c r="I14" s="82">
        <v>35</v>
      </c>
      <c r="J14" s="82">
        <v>30</v>
      </c>
      <c r="K14" s="140" t="s">
        <v>13</v>
      </c>
      <c r="L14" s="3"/>
      <c r="M14" s="143" t="s">
        <v>56</v>
      </c>
      <c r="N14" s="82"/>
      <c r="O14" s="82">
        <v>60</v>
      </c>
      <c r="P14" s="82">
        <v>60</v>
      </c>
      <c r="Q14" s="86" t="s">
        <v>23</v>
      </c>
    </row>
    <row r="15" spans="1:17">
      <c r="A15" s="145" t="s">
        <v>57</v>
      </c>
      <c r="B15" s="87"/>
      <c r="C15" s="84">
        <v>84</v>
      </c>
      <c r="D15" s="82">
        <v>48</v>
      </c>
      <c r="E15" s="89" t="s">
        <v>46</v>
      </c>
      <c r="F15" s="6"/>
      <c r="G15" s="143" t="s">
        <v>58</v>
      </c>
      <c r="H15" s="82"/>
      <c r="I15" s="92">
        <v>30</v>
      </c>
      <c r="J15" s="92">
        <v>30</v>
      </c>
      <c r="K15" s="140" t="s">
        <v>13</v>
      </c>
      <c r="L15" s="3"/>
      <c r="M15" s="143" t="s">
        <v>59</v>
      </c>
      <c r="N15" s="82"/>
      <c r="O15" s="82">
        <v>45</v>
      </c>
      <c r="P15" s="82">
        <v>45</v>
      </c>
      <c r="Q15" s="86" t="s">
        <v>23</v>
      </c>
    </row>
    <row r="16" spans="1:17">
      <c r="A16" s="145" t="s">
        <v>60</v>
      </c>
      <c r="B16" s="87"/>
      <c r="C16" s="84">
        <v>88</v>
      </c>
      <c r="D16" s="82">
        <v>76</v>
      </c>
      <c r="E16" s="88" t="s">
        <v>61</v>
      </c>
      <c r="F16" s="74"/>
      <c r="G16" s="143" t="s">
        <v>62</v>
      </c>
      <c r="H16" s="82"/>
      <c r="I16" s="92">
        <v>30</v>
      </c>
      <c r="J16" s="92">
        <v>30</v>
      </c>
      <c r="K16" s="140" t="s">
        <v>13</v>
      </c>
      <c r="L16" s="3"/>
      <c r="M16" s="144" t="s">
        <v>63</v>
      </c>
      <c r="N16" s="90" t="s">
        <v>16</v>
      </c>
      <c r="O16" s="90">
        <v>82</v>
      </c>
      <c r="P16" s="90">
        <v>82</v>
      </c>
      <c r="Q16" s="88" t="s">
        <v>61</v>
      </c>
    </row>
    <row r="17" spans="1:17">
      <c r="A17" s="145" t="s">
        <v>64</v>
      </c>
      <c r="B17" s="87"/>
      <c r="C17" s="84">
        <v>88</v>
      </c>
      <c r="D17" s="82">
        <v>78</v>
      </c>
      <c r="E17" s="93" t="s">
        <v>11</v>
      </c>
      <c r="F17" s="6"/>
      <c r="G17" s="143" t="s">
        <v>65</v>
      </c>
      <c r="H17" s="82"/>
      <c r="I17" s="92">
        <v>30</v>
      </c>
      <c r="J17" s="92">
        <v>30</v>
      </c>
      <c r="K17" s="140" t="s">
        <v>13</v>
      </c>
      <c r="L17" s="3"/>
      <c r="M17" s="143" t="s">
        <v>66</v>
      </c>
      <c r="N17" s="82" t="s">
        <v>67</v>
      </c>
      <c r="O17" s="82">
        <v>106</v>
      </c>
      <c r="P17" s="82">
        <v>106</v>
      </c>
      <c r="Q17" s="93" t="s">
        <v>11</v>
      </c>
    </row>
    <row r="18" spans="1:17" ht="15" customHeight="1">
      <c r="A18" s="145" t="s">
        <v>68</v>
      </c>
      <c r="B18" s="87"/>
      <c r="C18" s="84">
        <v>85</v>
      </c>
      <c r="D18" s="82">
        <v>67</v>
      </c>
      <c r="E18" s="93" t="s">
        <v>11</v>
      </c>
      <c r="F18" s="6"/>
      <c r="G18" s="143" t="s">
        <v>69</v>
      </c>
      <c r="H18" s="199" t="s">
        <v>70</v>
      </c>
      <c r="I18" s="82">
        <v>30</v>
      </c>
      <c r="J18" s="82"/>
      <c r="K18" s="89" t="s">
        <v>49</v>
      </c>
      <c r="L18" s="3"/>
      <c r="M18" s="143" t="s">
        <v>71</v>
      </c>
      <c r="N18" s="82" t="s">
        <v>23</v>
      </c>
      <c r="O18" s="82">
        <v>106</v>
      </c>
      <c r="P18" s="82">
        <v>106</v>
      </c>
      <c r="Q18" s="83" t="s">
        <v>16</v>
      </c>
    </row>
    <row r="19" spans="1:17">
      <c r="A19" s="145" t="s">
        <v>72</v>
      </c>
      <c r="B19" s="87"/>
      <c r="C19" s="84">
        <v>102</v>
      </c>
      <c r="D19" s="82">
        <v>86</v>
      </c>
      <c r="E19" s="89" t="s">
        <v>46</v>
      </c>
      <c r="F19" s="6"/>
      <c r="G19" s="143" t="s">
        <v>73</v>
      </c>
      <c r="H19" s="82" t="s">
        <v>74</v>
      </c>
      <c r="I19" s="82">
        <v>40</v>
      </c>
      <c r="J19" s="82"/>
      <c r="K19" s="89" t="s">
        <v>49</v>
      </c>
      <c r="L19" s="3"/>
      <c r="M19" s="143" t="s">
        <v>75</v>
      </c>
      <c r="N19" s="82" t="s">
        <v>46</v>
      </c>
      <c r="O19" s="82">
        <v>111</v>
      </c>
      <c r="P19" s="82">
        <v>111</v>
      </c>
      <c r="Q19" s="89" t="s">
        <v>46</v>
      </c>
    </row>
    <row r="20" spans="1:17">
      <c r="A20" s="145" t="s">
        <v>76</v>
      </c>
      <c r="B20" s="82" t="s">
        <v>77</v>
      </c>
      <c r="C20" s="91">
        <v>10</v>
      </c>
      <c r="D20" s="91"/>
      <c r="E20" s="94" t="s">
        <v>78</v>
      </c>
      <c r="F20" s="6"/>
      <c r="G20" s="143" t="s">
        <v>79</v>
      </c>
      <c r="H20" s="82" t="s">
        <v>80</v>
      </c>
      <c r="I20" s="82">
        <v>40</v>
      </c>
      <c r="J20" s="82"/>
      <c r="K20" s="89" t="s">
        <v>49</v>
      </c>
      <c r="L20" s="3"/>
      <c r="M20" s="143" t="s">
        <v>81</v>
      </c>
      <c r="N20" s="82" t="s">
        <v>82</v>
      </c>
      <c r="O20" s="82">
        <v>222</v>
      </c>
      <c r="P20" s="82"/>
      <c r="Q20" s="95"/>
    </row>
    <row r="21" spans="1:17">
      <c r="A21" s="145" t="s">
        <v>83</v>
      </c>
      <c r="B21" s="87"/>
      <c r="C21" s="7">
        <v>56</v>
      </c>
      <c r="D21" s="92">
        <v>35</v>
      </c>
      <c r="E21" s="94" t="s">
        <v>78</v>
      </c>
      <c r="F21" s="6"/>
      <c r="G21" s="143" t="s">
        <v>84</v>
      </c>
      <c r="H21" s="82" t="s">
        <v>85</v>
      </c>
      <c r="I21" s="82">
        <v>30</v>
      </c>
      <c r="J21" s="82"/>
      <c r="K21" s="89" t="s">
        <v>49</v>
      </c>
      <c r="L21" s="3"/>
      <c r="M21" s="54"/>
      <c r="N21" s="74"/>
      <c r="O21" s="54">
        <f>SUM(O4:O20)</f>
        <v>1092</v>
      </c>
      <c r="P21" s="54">
        <f>SUM(P4:P20)</f>
        <v>870</v>
      </c>
      <c r="Q21" s="96"/>
    </row>
    <row r="22" spans="1:17">
      <c r="A22" s="145" t="s">
        <v>86</v>
      </c>
      <c r="B22" s="87"/>
      <c r="C22" s="84">
        <v>31</v>
      </c>
      <c r="D22" s="82">
        <v>31</v>
      </c>
      <c r="E22" s="89" t="s">
        <v>46</v>
      </c>
      <c r="F22" s="6"/>
      <c r="G22" s="143" t="s">
        <v>87</v>
      </c>
      <c r="H22" s="82" t="s">
        <v>88</v>
      </c>
      <c r="I22" s="82">
        <v>30</v>
      </c>
      <c r="J22" s="82"/>
      <c r="K22" s="89" t="s">
        <v>49</v>
      </c>
      <c r="L22" s="3"/>
      <c r="M22" s="54"/>
      <c r="N22" s="74"/>
      <c r="O22" s="74"/>
      <c r="P22" s="74"/>
      <c r="Q22" s="96"/>
    </row>
    <row r="23" spans="1:17">
      <c r="A23" s="145" t="s">
        <v>89</v>
      </c>
      <c r="B23" s="87"/>
      <c r="C23" s="84">
        <v>54</v>
      </c>
      <c r="D23" s="82">
        <v>49</v>
      </c>
      <c r="E23" s="94" t="s">
        <v>78</v>
      </c>
      <c r="F23" s="6"/>
      <c r="G23" s="57"/>
      <c r="H23" s="6"/>
      <c r="I23" s="54">
        <f>SUM(I4:I22)</f>
        <v>665</v>
      </c>
      <c r="J23" s="54">
        <f>SUM(J4:J22)</f>
        <v>415</v>
      </c>
      <c r="K23" s="6"/>
      <c r="L23" s="3"/>
      <c r="P23" s="74"/>
      <c r="Q23" s="96"/>
    </row>
    <row r="24" spans="1:17">
      <c r="A24" s="147" t="s">
        <v>90</v>
      </c>
      <c r="B24" s="57" t="s">
        <v>91</v>
      </c>
      <c r="C24" s="15">
        <v>30</v>
      </c>
      <c r="D24" s="91"/>
      <c r="E24" s="89" t="s">
        <v>49</v>
      </c>
      <c r="F24" s="6"/>
      <c r="L24" s="3"/>
      <c r="M24" s="163"/>
      <c r="N24" s="163" t="s">
        <v>92</v>
      </c>
      <c r="O24" s="163" t="s">
        <v>93</v>
      </c>
      <c r="P24" s="74"/>
    </row>
    <row r="25" spans="1:17">
      <c r="A25" s="148" t="s">
        <v>94</v>
      </c>
      <c r="B25" s="97"/>
      <c r="C25" s="97">
        <v>90</v>
      </c>
      <c r="D25" s="97">
        <v>90</v>
      </c>
      <c r="E25" s="98" t="s">
        <v>23</v>
      </c>
      <c r="L25" s="3"/>
      <c r="M25" s="163" t="s">
        <v>95</v>
      </c>
      <c r="N25" s="163">
        <f>C48+I23+O21</f>
        <v>3778</v>
      </c>
      <c r="O25" s="163">
        <f>D48+J23+P21</f>
        <v>3045</v>
      </c>
      <c r="P25" s="74"/>
      <c r="Q25" s="96"/>
    </row>
    <row r="26" spans="1:17">
      <c r="A26" s="148" t="s">
        <v>96</v>
      </c>
      <c r="B26" s="97"/>
      <c r="C26" s="97">
        <v>30</v>
      </c>
      <c r="D26" s="97">
        <v>30</v>
      </c>
      <c r="E26" s="89" t="s">
        <v>46</v>
      </c>
      <c r="L26" s="3"/>
      <c r="M26" s="54"/>
      <c r="N26" s="74"/>
      <c r="O26" s="74"/>
      <c r="P26" s="74"/>
      <c r="Q26" s="96"/>
    </row>
    <row r="27" spans="1:17">
      <c r="A27" s="148" t="s">
        <v>97</v>
      </c>
      <c r="B27" s="97"/>
      <c r="C27" s="97">
        <v>54</v>
      </c>
      <c r="D27" s="97">
        <v>54</v>
      </c>
      <c r="E27" s="98" t="s">
        <v>23</v>
      </c>
      <c r="M27" s="54"/>
      <c r="N27" s="74"/>
      <c r="O27" s="74"/>
      <c r="P27" s="74"/>
      <c r="Q27" s="96"/>
    </row>
    <row r="28" spans="1:17">
      <c r="A28" s="148" t="s">
        <v>98</v>
      </c>
      <c r="B28" s="97"/>
      <c r="C28" s="97">
        <v>17</v>
      </c>
      <c r="D28" s="97">
        <v>17</v>
      </c>
      <c r="E28" s="98" t="s">
        <v>23</v>
      </c>
      <c r="N28" s="74"/>
      <c r="O28" s="74"/>
      <c r="P28" s="74"/>
      <c r="Q28" s="96"/>
    </row>
    <row r="29" spans="1:17">
      <c r="A29" s="148" t="s">
        <v>99</v>
      </c>
      <c r="B29" s="97" t="s">
        <v>100</v>
      </c>
      <c r="C29" s="97">
        <v>24</v>
      </c>
      <c r="D29" s="97">
        <v>24</v>
      </c>
      <c r="E29" s="94" t="s">
        <v>78</v>
      </c>
      <c r="H29" s="68"/>
      <c r="I29" s="68"/>
      <c r="N29" s="74"/>
      <c r="O29" s="74"/>
      <c r="P29" s="74"/>
      <c r="Q29" s="96"/>
    </row>
    <row r="30" spans="1:17">
      <c r="A30" s="148" t="s">
        <v>101</v>
      </c>
      <c r="B30" s="97"/>
      <c r="C30" s="97">
        <v>30</v>
      </c>
      <c r="D30" s="97">
        <v>29</v>
      </c>
      <c r="E30" s="83" t="s">
        <v>16</v>
      </c>
      <c r="H30" s="68"/>
      <c r="I30" s="74"/>
      <c r="J30" s="74"/>
      <c r="K30" s="6"/>
      <c r="N30" s="74"/>
      <c r="O30" s="74"/>
      <c r="P30" s="74"/>
      <c r="Q30" s="96"/>
    </row>
    <row r="31" spans="1:17">
      <c r="A31" s="148" t="s">
        <v>102</v>
      </c>
      <c r="B31" s="97"/>
      <c r="C31" s="97">
        <v>40</v>
      </c>
      <c r="D31" s="97">
        <v>40</v>
      </c>
      <c r="E31" s="83" t="s">
        <v>16</v>
      </c>
      <c r="H31" s="68"/>
      <c r="I31" s="74"/>
      <c r="J31" s="74"/>
      <c r="K31" s="6"/>
      <c r="N31" s="74"/>
      <c r="O31" s="74"/>
      <c r="P31" s="74"/>
      <c r="Q31" s="96"/>
    </row>
    <row r="32" spans="1:17">
      <c r="A32" s="148" t="s">
        <v>103</v>
      </c>
      <c r="B32" s="97"/>
      <c r="C32" s="97">
        <v>34</v>
      </c>
      <c r="D32" s="97">
        <v>33</v>
      </c>
      <c r="E32" s="89" t="s">
        <v>46</v>
      </c>
      <c r="H32" s="68"/>
      <c r="I32" s="74"/>
      <c r="J32" s="74"/>
      <c r="K32" s="6"/>
      <c r="N32" s="74"/>
      <c r="O32" s="74"/>
      <c r="P32" s="74"/>
      <c r="Q32" s="96"/>
    </row>
    <row r="33" spans="1:17">
      <c r="A33" s="148" t="s">
        <v>104</v>
      </c>
      <c r="B33" s="97"/>
      <c r="C33" s="97">
        <v>65</v>
      </c>
      <c r="D33" s="97">
        <v>53</v>
      </c>
      <c r="E33" s="98" t="s">
        <v>23</v>
      </c>
      <c r="H33" s="68"/>
      <c r="I33" s="74"/>
      <c r="J33" s="74"/>
      <c r="K33" s="6"/>
      <c r="N33" s="74"/>
      <c r="O33" s="74"/>
      <c r="P33" s="74"/>
      <c r="Q33" s="96"/>
    </row>
    <row r="34" spans="1:17">
      <c r="A34" s="148" t="s">
        <v>105</v>
      </c>
      <c r="B34" s="97"/>
      <c r="C34" s="97">
        <v>63</v>
      </c>
      <c r="D34" s="97">
        <v>63</v>
      </c>
      <c r="E34" s="89" t="s">
        <v>46</v>
      </c>
      <c r="H34" s="68"/>
      <c r="I34" s="74"/>
      <c r="J34" s="74"/>
      <c r="K34" s="6"/>
      <c r="N34" s="74"/>
      <c r="O34" s="74"/>
      <c r="P34" s="74"/>
      <c r="Q34" s="96"/>
    </row>
    <row r="35" spans="1:17">
      <c r="A35" s="148" t="s">
        <v>106</v>
      </c>
      <c r="B35" s="97"/>
      <c r="C35" s="97">
        <v>39</v>
      </c>
      <c r="D35" s="97">
        <v>39</v>
      </c>
      <c r="E35" s="89" t="s">
        <v>46</v>
      </c>
      <c r="H35" s="68"/>
      <c r="I35" s="74"/>
      <c r="J35" s="74"/>
      <c r="K35" s="6"/>
      <c r="N35" s="74"/>
      <c r="O35" s="74"/>
      <c r="P35" s="74"/>
      <c r="Q35" s="96"/>
    </row>
    <row r="36" spans="1:17">
      <c r="A36" s="148" t="s">
        <v>107</v>
      </c>
      <c r="B36" s="97"/>
      <c r="C36" s="97">
        <v>35</v>
      </c>
      <c r="D36" s="97">
        <v>33</v>
      </c>
      <c r="E36" s="140" t="s">
        <v>13</v>
      </c>
      <c r="H36" s="68"/>
      <c r="I36" s="74"/>
      <c r="J36" s="74"/>
      <c r="K36" s="6"/>
      <c r="N36" s="74"/>
      <c r="O36" s="74"/>
      <c r="P36" s="74"/>
      <c r="Q36" s="96"/>
    </row>
    <row r="37" spans="1:17">
      <c r="A37" s="148" t="s">
        <v>108</v>
      </c>
      <c r="B37" s="97"/>
      <c r="C37" s="97">
        <v>24</v>
      </c>
      <c r="D37" s="97">
        <v>24</v>
      </c>
      <c r="E37" s="140" t="s">
        <v>13</v>
      </c>
      <c r="H37" s="68"/>
      <c r="I37" s="74"/>
      <c r="J37" s="74"/>
      <c r="K37" s="6"/>
      <c r="N37" s="74"/>
      <c r="O37" s="74"/>
      <c r="P37" s="74"/>
      <c r="Q37" s="96"/>
    </row>
    <row r="38" spans="1:17">
      <c r="A38" s="148" t="s">
        <v>109</v>
      </c>
      <c r="B38" s="97"/>
      <c r="C38" s="97">
        <v>30</v>
      </c>
      <c r="D38" s="97">
        <v>28</v>
      </c>
      <c r="E38" s="140" t="s">
        <v>13</v>
      </c>
      <c r="H38" s="68"/>
      <c r="I38" s="74"/>
      <c r="J38" s="74"/>
      <c r="K38" s="6"/>
      <c r="N38" s="74"/>
      <c r="O38" s="74"/>
      <c r="P38" s="74"/>
      <c r="Q38" s="96"/>
    </row>
    <row r="39" spans="1:17">
      <c r="A39" s="148" t="s">
        <v>110</v>
      </c>
      <c r="B39" s="97"/>
      <c r="C39" s="97">
        <v>26</v>
      </c>
      <c r="D39" s="97">
        <v>21</v>
      </c>
      <c r="E39" s="140" t="s">
        <v>13</v>
      </c>
      <c r="H39" s="68"/>
      <c r="I39" s="74"/>
      <c r="J39" s="74"/>
      <c r="K39" s="6"/>
      <c r="N39" s="74"/>
      <c r="O39" s="74"/>
      <c r="P39" s="74"/>
      <c r="Q39" s="96"/>
    </row>
    <row r="40" spans="1:17">
      <c r="A40" s="148" t="s">
        <v>111</v>
      </c>
      <c r="B40" s="97"/>
      <c r="C40" s="97">
        <v>37</v>
      </c>
      <c r="D40" s="97">
        <v>36</v>
      </c>
      <c r="E40" s="94" t="s">
        <v>78</v>
      </c>
      <c r="H40" s="68"/>
      <c r="I40" s="74"/>
      <c r="J40" s="74"/>
      <c r="K40" s="6"/>
      <c r="N40" s="74"/>
      <c r="O40" s="74"/>
      <c r="P40" s="74"/>
      <c r="Q40" s="96"/>
    </row>
    <row r="41" spans="1:17">
      <c r="A41" s="148" t="s">
        <v>112</v>
      </c>
      <c r="B41" s="97"/>
      <c r="C41" s="97">
        <v>54</v>
      </c>
      <c r="D41" s="97">
        <v>42</v>
      </c>
      <c r="E41" s="94" t="s">
        <v>78</v>
      </c>
      <c r="H41" s="68"/>
      <c r="I41" s="74"/>
      <c r="J41" s="74"/>
      <c r="K41" s="6"/>
      <c r="N41" s="74"/>
      <c r="O41" s="74"/>
      <c r="P41" s="74"/>
      <c r="Q41" s="96"/>
    </row>
    <row r="42" spans="1:17">
      <c r="A42" s="148" t="s">
        <v>113</v>
      </c>
      <c r="B42" s="97"/>
      <c r="C42" s="97">
        <v>36</v>
      </c>
      <c r="D42" s="97">
        <v>36</v>
      </c>
      <c r="E42" s="86" t="s">
        <v>23</v>
      </c>
      <c r="H42" s="68"/>
      <c r="I42" s="74"/>
      <c r="J42" s="74"/>
      <c r="K42" s="6"/>
      <c r="N42" s="74"/>
      <c r="O42" s="74"/>
      <c r="P42" s="74"/>
      <c r="Q42" s="96"/>
    </row>
    <row r="43" spans="1:17">
      <c r="A43" s="148" t="s">
        <v>114</v>
      </c>
      <c r="B43" s="97"/>
      <c r="C43" s="97">
        <v>27</v>
      </c>
      <c r="D43" s="97">
        <v>27</v>
      </c>
      <c r="E43" s="83" t="s">
        <v>16</v>
      </c>
      <c r="H43" s="68"/>
      <c r="I43" s="74"/>
      <c r="J43" s="74"/>
      <c r="K43" s="6"/>
      <c r="N43" s="74"/>
      <c r="O43" s="74"/>
      <c r="P43" s="74"/>
      <c r="Q43" s="96"/>
    </row>
    <row r="44" spans="1:17">
      <c r="A44" s="148" t="s">
        <v>115</v>
      </c>
      <c r="B44" s="97" t="s">
        <v>116</v>
      </c>
      <c r="C44" s="97">
        <v>29</v>
      </c>
      <c r="D44" s="97">
        <v>29</v>
      </c>
      <c r="E44" s="94" t="s">
        <v>78</v>
      </c>
      <c r="H44" s="68"/>
      <c r="I44" s="74"/>
      <c r="J44" s="74"/>
      <c r="K44" s="6"/>
      <c r="N44" s="74"/>
      <c r="O44" s="74"/>
      <c r="P44" s="74"/>
      <c r="Q44" s="96"/>
    </row>
    <row r="45" spans="1:17">
      <c r="A45" s="148" t="s">
        <v>117</v>
      </c>
      <c r="B45" s="97" t="s">
        <v>116</v>
      </c>
      <c r="C45" s="97">
        <v>28</v>
      </c>
      <c r="D45" s="97">
        <v>28</v>
      </c>
      <c r="E45" s="94" t="s">
        <v>78</v>
      </c>
      <c r="H45" s="68"/>
      <c r="I45" s="74"/>
      <c r="J45" s="74"/>
      <c r="K45" s="6"/>
      <c r="N45" s="74"/>
      <c r="O45" s="74"/>
      <c r="P45" s="74"/>
      <c r="Q45" s="96"/>
    </row>
    <row r="46" spans="1:17">
      <c r="A46" s="148" t="s">
        <v>118</v>
      </c>
      <c r="B46" s="97" t="s">
        <v>119</v>
      </c>
      <c r="C46" s="97">
        <v>20</v>
      </c>
      <c r="D46" s="97">
        <v>20</v>
      </c>
      <c r="E46" s="89" t="s">
        <v>49</v>
      </c>
      <c r="H46" s="68"/>
      <c r="I46" s="74"/>
      <c r="J46" s="74"/>
      <c r="K46" s="6"/>
      <c r="N46" s="74"/>
      <c r="O46" s="74"/>
      <c r="P46" s="74"/>
      <c r="Q46" s="96"/>
    </row>
    <row r="47" spans="1:17">
      <c r="A47" s="148" t="s">
        <v>120</v>
      </c>
      <c r="B47" s="97" t="s">
        <v>119</v>
      </c>
      <c r="C47" s="97">
        <v>12</v>
      </c>
      <c r="D47" s="97">
        <v>12</v>
      </c>
      <c r="E47" s="89" t="s">
        <v>49</v>
      </c>
      <c r="H47" s="68"/>
      <c r="I47" s="74"/>
      <c r="J47" s="74"/>
      <c r="K47" s="6"/>
      <c r="N47" s="74"/>
      <c r="O47" s="74"/>
      <c r="P47" s="74"/>
      <c r="Q47" s="96"/>
    </row>
    <row r="48" spans="1:17">
      <c r="A48" s="57"/>
      <c r="B48" s="57"/>
      <c r="C48" s="54">
        <f>SUM(C4:C47)</f>
        <v>2021</v>
      </c>
      <c r="D48" s="54">
        <f>SUM(D4:D47)</f>
        <v>1760</v>
      </c>
      <c r="E48" s="57"/>
      <c r="F48" s="6"/>
      <c r="H48" s="68"/>
      <c r="I48" s="74"/>
      <c r="J48" s="74"/>
      <c r="K48" s="6"/>
      <c r="N48" s="74"/>
      <c r="O48" s="74"/>
      <c r="P48" s="74"/>
      <c r="Q48" s="96"/>
    </row>
    <row r="49" spans="1:17">
      <c r="A49" s="57"/>
      <c r="B49" s="57"/>
      <c r="C49" s="57"/>
      <c r="D49" s="57"/>
      <c r="E49" s="57"/>
      <c r="F49" s="6"/>
      <c r="G49" s="54"/>
      <c r="H49" s="68"/>
      <c r="I49" s="74"/>
      <c r="J49" s="74"/>
      <c r="K49" s="6"/>
      <c r="N49" s="74"/>
      <c r="O49" s="74"/>
      <c r="P49" s="74"/>
      <c r="Q49" s="96"/>
    </row>
    <row r="50" spans="1:17">
      <c r="A50" s="100"/>
      <c r="B50" s="57"/>
      <c r="C50" s="57"/>
      <c r="D50" s="57"/>
      <c r="E50" s="57"/>
      <c r="F50" s="6"/>
      <c r="G50" s="54"/>
      <c r="H50" s="68"/>
      <c r="I50" s="74"/>
      <c r="J50" s="74"/>
      <c r="K50" s="6"/>
      <c r="M50" s="54"/>
      <c r="N50" s="74"/>
      <c r="O50" s="74"/>
      <c r="P50" s="74"/>
      <c r="Q50" s="96"/>
    </row>
    <row r="51" spans="1:17">
      <c r="A51" s="101"/>
      <c r="B51" s="74"/>
      <c r="C51" s="74"/>
      <c r="D51" s="74"/>
      <c r="E51" s="74"/>
      <c r="F51" s="6"/>
      <c r="G51" s="54"/>
      <c r="H51" s="74"/>
      <c r="I51" s="74"/>
      <c r="J51" s="74"/>
      <c r="K51" s="6"/>
      <c r="L51" s="3"/>
      <c r="M51" s="98" t="s">
        <v>23</v>
      </c>
      <c r="N51" s="157">
        <f t="shared" ref="N51:N57" si="0">COUNTIFS($E$4:$E$47,M51)+COUNTIFS($K$4:$K$22,M51)+COUNTIFS($Q$4:$Q$22,M51)</f>
        <v>19</v>
      </c>
      <c r="P51" s="74"/>
      <c r="Q51" s="102"/>
    </row>
    <row r="52" spans="1:17">
      <c r="A52" s="110" t="s">
        <v>121</v>
      </c>
      <c r="B52" s="111"/>
      <c r="C52" s="112"/>
      <c r="D52" s="112"/>
      <c r="E52" s="112"/>
      <c r="F52" s="112"/>
      <c r="G52" s="112"/>
      <c r="H52" s="112"/>
      <c r="I52" s="73"/>
      <c r="J52" s="73"/>
      <c r="K52" s="73"/>
      <c r="L52" s="6"/>
      <c r="M52" s="99" t="s">
        <v>11</v>
      </c>
      <c r="N52" s="157">
        <f t="shared" si="0"/>
        <v>5</v>
      </c>
      <c r="O52" s="74"/>
      <c r="P52" s="74"/>
      <c r="Q52" s="103"/>
    </row>
    <row r="53" spans="1:17">
      <c r="A53" s="350" t="s">
        <v>122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6"/>
      <c r="M53" s="158" t="s">
        <v>46</v>
      </c>
      <c r="N53" s="157">
        <f t="shared" si="0"/>
        <v>11</v>
      </c>
      <c r="O53" s="74"/>
      <c r="P53" s="74"/>
      <c r="Q53" s="102"/>
    </row>
    <row r="54" spans="1:17" ht="15" customHeight="1">
      <c r="A54" s="139" t="s">
        <v>123</v>
      </c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6"/>
      <c r="M54" s="158" t="s">
        <v>49</v>
      </c>
      <c r="N54" s="157">
        <f t="shared" si="0"/>
        <v>9</v>
      </c>
      <c r="O54" s="74"/>
      <c r="P54" s="74"/>
      <c r="Q54" s="102"/>
    </row>
    <row r="55" spans="1:17">
      <c r="A55" s="350" t="s">
        <v>124</v>
      </c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74"/>
      <c r="M55" s="159" t="s">
        <v>16</v>
      </c>
      <c r="N55" s="157">
        <f t="shared" si="0"/>
        <v>10</v>
      </c>
      <c r="O55" s="74"/>
      <c r="P55" s="74"/>
      <c r="Q55" s="96"/>
    </row>
    <row r="56" spans="1:17">
      <c r="A56" s="350" t="s">
        <v>125</v>
      </c>
      <c r="B56" s="351"/>
      <c r="C56" s="351"/>
      <c r="D56" s="351"/>
      <c r="E56" s="351"/>
      <c r="F56" s="351"/>
      <c r="G56" s="351"/>
      <c r="H56" s="351"/>
      <c r="I56" s="351"/>
      <c r="J56" s="351"/>
      <c r="K56" s="351"/>
      <c r="L56" s="74"/>
      <c r="M56" s="160" t="s">
        <v>78</v>
      </c>
      <c r="N56" s="157">
        <f t="shared" si="0"/>
        <v>8</v>
      </c>
      <c r="O56" s="74"/>
      <c r="P56" s="74"/>
      <c r="Q56" s="96"/>
    </row>
    <row r="57" spans="1:17">
      <c r="A57" s="350" t="s">
        <v>126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74"/>
      <c r="M57" s="161" t="s">
        <v>13</v>
      </c>
      <c r="N57" s="157">
        <f t="shared" si="0"/>
        <v>13</v>
      </c>
      <c r="O57" s="74"/>
      <c r="P57" s="74"/>
      <c r="Q57" s="96"/>
    </row>
    <row r="58" spans="1:17">
      <c r="A58" s="350" t="s">
        <v>127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74"/>
      <c r="M58" s="162"/>
      <c r="N58" s="157"/>
      <c r="O58" s="74"/>
      <c r="P58" s="74"/>
      <c r="Q58" s="96"/>
    </row>
    <row r="59" spans="1:17">
      <c r="A59" s="350" t="s">
        <v>128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74"/>
      <c r="M59" s="141" t="s">
        <v>129</v>
      </c>
      <c r="N59" s="142">
        <f>SUM(N51:N58)</f>
        <v>75</v>
      </c>
      <c r="O59" s="74"/>
      <c r="P59" s="74"/>
      <c r="Q59" s="96"/>
    </row>
    <row r="60" spans="1:17" ht="17.100000000000001" thickBot="1">
      <c r="A60" s="104"/>
      <c r="B60" s="105"/>
      <c r="C60" s="105"/>
      <c r="D60" s="105"/>
      <c r="E60" s="105"/>
      <c r="F60" s="105"/>
      <c r="G60" s="106"/>
      <c r="H60" s="105"/>
      <c r="I60" s="105"/>
      <c r="J60" s="105"/>
      <c r="K60" s="105"/>
      <c r="L60" s="105"/>
      <c r="M60" s="106"/>
      <c r="N60" s="105"/>
      <c r="O60" s="105"/>
      <c r="P60" s="105"/>
      <c r="Q60" s="107"/>
    </row>
  </sheetData>
  <mergeCells count="10">
    <mergeCell ref="A55:K55"/>
    <mergeCell ref="A56:K56"/>
    <mergeCell ref="A57:K57"/>
    <mergeCell ref="A58:K58"/>
    <mergeCell ref="A59:K59"/>
    <mergeCell ref="A1:Q1"/>
    <mergeCell ref="A2:E2"/>
    <mergeCell ref="G2:K2"/>
    <mergeCell ref="M2:Q2"/>
    <mergeCell ref="A53:K53"/>
  </mergeCells>
  <phoneticPr fontId="6" type="noConversion"/>
  <printOptions horizontalCentered="1"/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DED4-8D8F-704F-B385-4A0AFE8C78C2}">
  <sheetPr>
    <pageSetUpPr fitToPage="1"/>
  </sheetPr>
  <dimension ref="A1:AX1293"/>
  <sheetViews>
    <sheetView tabSelected="1" topLeftCell="A198" zoomScale="93" zoomScaleNormal="93" workbookViewId="0">
      <pane xSplit="4" topLeftCell="G1" activePane="topRight" state="frozen"/>
      <selection pane="topRight" activeCell="J220" sqref="J220"/>
      <selection activeCell="B57" sqref="B57"/>
    </sheetView>
  </sheetViews>
  <sheetFormatPr defaultColWidth="10.875" defaultRowHeight="15.95"/>
  <cols>
    <col min="1" max="1" width="2.625" style="1" bestFit="1" customWidth="1"/>
    <col min="2" max="2" width="9.5" style="1" bestFit="1" customWidth="1"/>
    <col min="3" max="3" width="4" style="1" customWidth="1"/>
    <col min="4" max="4" width="12" style="1" bestFit="1" customWidth="1"/>
    <col min="5" max="10" width="28.125" style="1" customWidth="1"/>
    <col min="11" max="12" width="28.125" style="108" customWidth="1"/>
    <col min="13" max="13" width="30.5" style="60" customWidth="1"/>
    <col min="14" max="14" width="34.5" style="1" customWidth="1"/>
    <col min="15" max="15" width="28.125" style="1" customWidth="1"/>
    <col min="16" max="16" width="39.875" style="1" customWidth="1"/>
    <col min="17" max="17" width="29" style="166" customWidth="1"/>
    <col min="18" max="18" width="28.125" style="1" customWidth="1"/>
    <col min="19" max="19" width="38.625" style="1" customWidth="1"/>
    <col min="20" max="20" width="40" style="108" customWidth="1"/>
    <col min="21" max="21" width="40.5" style="1" customWidth="1"/>
    <col min="22" max="22" width="33.625" style="1" customWidth="1"/>
    <col min="23" max="24" width="28.125" style="1" customWidth="1"/>
    <col min="25" max="25" width="37.125" style="1" customWidth="1"/>
    <col min="26" max="26" width="30.875" style="1" bestFit="1" customWidth="1"/>
    <col min="27" max="27" width="38.5" style="1" bestFit="1" customWidth="1"/>
    <col min="28" max="28" width="47" style="1" bestFit="1" customWidth="1"/>
    <col min="29" max="29" width="52" style="1" bestFit="1" customWidth="1"/>
    <col min="30" max="30" width="31.5" style="1" customWidth="1"/>
    <col min="31" max="31" width="25.875" style="1" customWidth="1"/>
    <col min="32" max="32" width="20.875" style="1" customWidth="1"/>
    <col min="33" max="33" width="31" style="1" customWidth="1"/>
    <col min="34" max="34" width="45.5" style="1" bestFit="1" customWidth="1"/>
    <col min="35" max="35" width="35.375" style="1" customWidth="1"/>
    <col min="36" max="36" width="39.125" style="1" customWidth="1"/>
    <col min="37" max="38" width="20.875" style="1" customWidth="1"/>
    <col min="39" max="40" width="52" style="1" bestFit="1" customWidth="1"/>
    <col min="41" max="41" width="34" style="1" customWidth="1"/>
    <col min="42" max="42" width="30" style="1" customWidth="1"/>
    <col min="43" max="43" width="32" style="1" customWidth="1"/>
    <col min="44" max="44" width="52" style="1" bestFit="1" customWidth="1"/>
    <col min="45" max="45" width="45" style="1" customWidth="1"/>
    <col min="46" max="46" width="36.375" style="1" customWidth="1"/>
    <col min="47" max="47" width="20.875" style="1" customWidth="1"/>
    <col min="48" max="16370" width="10.875" style="1"/>
    <col min="16371" max="16373" width="10.875" style="1" bestFit="1" customWidth="1"/>
    <col min="16374" max="16384" width="10.875" style="1"/>
  </cols>
  <sheetData>
    <row r="1" spans="1:35">
      <c r="B1" s="344" t="s">
        <v>130</v>
      </c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6"/>
      <c r="X1" s="337"/>
      <c r="Y1" s="338"/>
    </row>
    <row r="2" spans="1:35">
      <c r="A2" s="1">
        <v>3</v>
      </c>
      <c r="B2" s="333" t="s">
        <v>131</v>
      </c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5"/>
      <c r="X2" s="339"/>
      <c r="Y2" s="340"/>
    </row>
    <row r="3" spans="1:35">
      <c r="B3" s="333" t="s">
        <v>132</v>
      </c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5"/>
      <c r="X3" s="339"/>
      <c r="Y3" s="340"/>
    </row>
    <row r="4" spans="1:35">
      <c r="B4" s="117"/>
      <c r="M4" s="108"/>
      <c r="O4" s="306"/>
      <c r="W4" s="115"/>
      <c r="X4" s="114"/>
      <c r="Y4" s="116"/>
    </row>
    <row r="5" spans="1:35" s="61" customFormat="1" ht="17.100000000000001">
      <c r="B5" s="72" t="s">
        <v>133</v>
      </c>
      <c r="C5" s="336" t="s">
        <v>134</v>
      </c>
      <c r="D5" s="336"/>
      <c r="E5" s="118" t="s">
        <v>12</v>
      </c>
      <c r="F5" s="72" t="s">
        <v>18</v>
      </c>
      <c r="G5" s="72" t="s">
        <v>24</v>
      </c>
      <c r="H5" s="72" t="s">
        <v>27</v>
      </c>
      <c r="I5" s="72" t="s">
        <v>31</v>
      </c>
      <c r="J5" s="72" t="s">
        <v>35</v>
      </c>
      <c r="K5" s="72" t="s">
        <v>39</v>
      </c>
      <c r="L5" s="72" t="s">
        <v>44</v>
      </c>
      <c r="M5" s="72" t="s">
        <v>50</v>
      </c>
      <c r="N5" s="72" t="s">
        <v>53</v>
      </c>
      <c r="O5" s="72" t="s">
        <v>56</v>
      </c>
      <c r="P5" s="72" t="s">
        <v>59</v>
      </c>
      <c r="Q5" s="118" t="s">
        <v>63</v>
      </c>
      <c r="R5" s="72" t="s">
        <v>66</v>
      </c>
      <c r="S5" s="72" t="s">
        <v>71</v>
      </c>
      <c r="T5" s="72" t="s">
        <v>75</v>
      </c>
      <c r="U5" s="72" t="s">
        <v>81</v>
      </c>
      <c r="V5" s="109" t="s">
        <v>135</v>
      </c>
      <c r="W5" s="109" t="s">
        <v>135</v>
      </c>
      <c r="X5" s="109" t="s">
        <v>135</v>
      </c>
      <c r="Y5" s="109" t="s">
        <v>135</v>
      </c>
      <c r="Z5" s="119"/>
      <c r="AA5" s="119"/>
      <c r="AB5" s="119"/>
      <c r="AC5" s="119"/>
      <c r="AD5" s="119"/>
      <c r="AE5" s="119"/>
      <c r="AF5" s="119"/>
      <c r="AG5" s="119"/>
      <c r="AH5" s="119"/>
      <c r="AI5" s="119"/>
    </row>
    <row r="6" spans="1:35" s="61" customFormat="1">
      <c r="B6" s="72"/>
      <c r="C6" s="72"/>
      <c r="D6" s="72"/>
      <c r="E6" s="118"/>
      <c r="F6" s="72"/>
      <c r="G6" s="72"/>
      <c r="H6" s="72"/>
      <c r="I6" s="72"/>
      <c r="L6" s="72"/>
      <c r="M6" s="72"/>
      <c r="N6" s="72"/>
      <c r="O6" s="72"/>
      <c r="P6" s="72"/>
      <c r="Q6" s="118"/>
      <c r="R6" s="72"/>
      <c r="S6" s="72"/>
      <c r="T6" s="72"/>
      <c r="U6" s="72"/>
      <c r="V6" s="109"/>
      <c r="W6" s="109"/>
      <c r="X6" s="109"/>
      <c r="Y6" s="109"/>
      <c r="Z6" s="119"/>
      <c r="AA6" s="119"/>
      <c r="AB6" s="119"/>
      <c r="AC6" s="119"/>
      <c r="AD6" s="119"/>
      <c r="AE6" s="119"/>
      <c r="AF6" s="119"/>
      <c r="AG6" s="119"/>
      <c r="AH6" s="119"/>
      <c r="AI6" s="119"/>
    </row>
    <row r="7" spans="1:35" s="61" customFormat="1" ht="17.100000000000001">
      <c r="B7" s="72"/>
      <c r="C7" s="72"/>
      <c r="D7" s="72"/>
      <c r="E7" s="118" t="s">
        <v>13</v>
      </c>
      <c r="F7" s="72" t="s">
        <v>13</v>
      </c>
      <c r="G7" s="72" t="s">
        <v>61</v>
      </c>
      <c r="H7" s="72" t="s">
        <v>23</v>
      </c>
      <c r="I7" s="72" t="s">
        <v>23</v>
      </c>
      <c r="J7" s="72" t="s">
        <v>23</v>
      </c>
      <c r="K7" s="72" t="s">
        <v>23</v>
      </c>
      <c r="L7" s="72" t="s">
        <v>23</v>
      </c>
      <c r="M7" s="125" t="s">
        <v>23</v>
      </c>
      <c r="N7" s="125" t="s">
        <v>11</v>
      </c>
      <c r="O7" s="72" t="s">
        <v>23</v>
      </c>
      <c r="P7" s="72" t="s">
        <v>23</v>
      </c>
      <c r="Q7" s="118" t="s">
        <v>61</v>
      </c>
      <c r="R7" s="125" t="s">
        <v>11</v>
      </c>
      <c r="S7" s="72" t="s">
        <v>16</v>
      </c>
      <c r="T7" s="72" t="s">
        <v>46</v>
      </c>
      <c r="U7" s="72"/>
      <c r="V7" s="109"/>
      <c r="W7" s="109"/>
      <c r="X7" s="109"/>
      <c r="Y7" s="109"/>
      <c r="Z7" s="119"/>
      <c r="AA7" s="119"/>
      <c r="AB7" s="119"/>
      <c r="AC7" s="119"/>
      <c r="AD7" s="119"/>
      <c r="AE7" s="119"/>
      <c r="AF7" s="119"/>
      <c r="AG7" s="119"/>
      <c r="AH7" s="119"/>
      <c r="AI7" s="119"/>
    </row>
    <row r="8" spans="1:35" s="28" customFormat="1" ht="36">
      <c r="A8" s="341" t="s">
        <v>136</v>
      </c>
      <c r="B8" s="327" t="s">
        <v>137</v>
      </c>
      <c r="C8" s="120">
        <v>1</v>
      </c>
      <c r="D8" s="121" t="s">
        <v>138</v>
      </c>
      <c r="E8" s="200"/>
      <c r="F8" s="70"/>
      <c r="G8" s="189"/>
      <c r="H8" s="201" t="s">
        <v>139</v>
      </c>
      <c r="I8" s="189" t="s">
        <v>140</v>
      </c>
      <c r="J8" s="271" t="s">
        <v>141</v>
      </c>
      <c r="K8" s="207" t="s">
        <v>142</v>
      </c>
      <c r="L8" s="204"/>
      <c r="M8" s="189" t="s">
        <v>143</v>
      </c>
      <c r="N8" s="271" t="s">
        <v>144</v>
      </c>
      <c r="O8" s="201" t="s">
        <v>145</v>
      </c>
      <c r="P8" s="201"/>
      <c r="Q8" s="201"/>
      <c r="R8" s="206"/>
      <c r="S8" s="202"/>
      <c r="T8" s="184"/>
      <c r="U8" s="70"/>
      <c r="V8" s="53"/>
      <c r="W8" s="70"/>
      <c r="X8" s="70"/>
      <c r="Y8" s="70"/>
      <c r="Z8" s="53"/>
      <c r="AA8" s="53"/>
      <c r="AB8" s="53"/>
      <c r="AC8" s="53"/>
      <c r="AD8" s="53"/>
      <c r="AE8" s="53"/>
      <c r="AF8" s="53"/>
      <c r="AG8" s="53"/>
      <c r="AH8" s="53"/>
      <c r="AI8" s="53"/>
    </row>
    <row r="9" spans="1:35" s="28" customFormat="1" ht="36">
      <c r="A9" s="342"/>
      <c r="B9" s="328"/>
      <c r="C9" s="120">
        <v>2</v>
      </c>
      <c r="D9" s="121" t="s">
        <v>146</v>
      </c>
      <c r="E9" s="200"/>
      <c r="F9" s="70"/>
      <c r="G9" s="189"/>
      <c r="H9" s="201" t="s">
        <v>139</v>
      </c>
      <c r="I9" s="189" t="s">
        <v>140</v>
      </c>
      <c r="J9" s="271" t="s">
        <v>141</v>
      </c>
      <c r="K9" s="207" t="s">
        <v>142</v>
      </c>
      <c r="L9" s="244"/>
      <c r="M9" s="189" t="s">
        <v>143</v>
      </c>
      <c r="N9" s="271" t="s">
        <v>144</v>
      </c>
      <c r="O9" s="201" t="s">
        <v>145</v>
      </c>
      <c r="P9" s="201"/>
      <c r="Q9" s="201" t="s">
        <v>147</v>
      </c>
      <c r="R9" s="206"/>
      <c r="S9" s="202"/>
      <c r="T9" s="189" t="s">
        <v>148</v>
      </c>
      <c r="U9" s="70"/>
      <c r="V9" s="53"/>
      <c r="W9" s="70"/>
      <c r="X9" s="70"/>
      <c r="Y9" s="70"/>
      <c r="Z9" s="53"/>
      <c r="AA9" s="53"/>
      <c r="AB9" s="53"/>
      <c r="AC9" s="53"/>
      <c r="AD9" s="53"/>
      <c r="AE9" s="53"/>
      <c r="AF9" s="53"/>
      <c r="AG9" s="53"/>
      <c r="AH9" s="53"/>
      <c r="AI9" s="53"/>
    </row>
    <row r="10" spans="1:35" s="28" customFormat="1" ht="36">
      <c r="A10" s="342"/>
      <c r="B10" s="328"/>
      <c r="C10" s="120">
        <v>3</v>
      </c>
      <c r="D10" s="121" t="s">
        <v>149</v>
      </c>
      <c r="E10" s="200"/>
      <c r="F10" s="70"/>
      <c r="G10" s="189"/>
      <c r="H10" s="201" t="s">
        <v>139</v>
      </c>
      <c r="I10" s="189" t="s">
        <v>140</v>
      </c>
      <c r="J10" s="271" t="s">
        <v>141</v>
      </c>
      <c r="K10" s="207" t="s">
        <v>142</v>
      </c>
      <c r="L10" s="284" t="s">
        <v>150</v>
      </c>
      <c r="M10" s="237" t="s">
        <v>143</v>
      </c>
      <c r="N10" s="189" t="s">
        <v>151</v>
      </c>
      <c r="O10" s="201" t="s">
        <v>145</v>
      </c>
      <c r="P10" s="201"/>
      <c r="Q10" s="201" t="s">
        <v>147</v>
      </c>
      <c r="R10" s="206"/>
      <c r="S10" s="202"/>
      <c r="T10" s="189" t="s">
        <v>148</v>
      </c>
      <c r="U10" s="70"/>
      <c r="V10" s="53"/>
      <c r="W10" s="70"/>
      <c r="X10" s="70"/>
      <c r="Y10" s="70"/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spans="1:35" s="28" customFormat="1" ht="24">
      <c r="A11" s="342"/>
      <c r="B11" s="328"/>
      <c r="C11" s="120">
        <v>4</v>
      </c>
      <c r="D11" s="121" t="s">
        <v>152</v>
      </c>
      <c r="E11" s="170"/>
      <c r="F11" s="170"/>
      <c r="G11" s="207"/>
      <c r="H11" s="286" t="s">
        <v>153</v>
      </c>
      <c r="I11" s="202" t="s">
        <v>154</v>
      </c>
      <c r="J11" s="201" t="s">
        <v>155</v>
      </c>
      <c r="K11" s="207"/>
      <c r="L11" s="208" t="s">
        <v>156</v>
      </c>
      <c r="M11" s="247"/>
      <c r="N11" s="189" t="s">
        <v>157</v>
      </c>
      <c r="O11" s="272" t="s">
        <v>158</v>
      </c>
      <c r="P11" s="201" t="s">
        <v>159</v>
      </c>
      <c r="Q11" s="238" t="s">
        <v>147</v>
      </c>
      <c r="R11" s="207" t="s">
        <v>160</v>
      </c>
      <c r="S11" s="202"/>
      <c r="T11" s="323" t="s">
        <v>161</v>
      </c>
      <c r="U11" s="70"/>
      <c r="V11" s="70"/>
      <c r="W11" s="70"/>
      <c r="X11" s="70"/>
      <c r="Y11" s="70"/>
      <c r="Z11" s="53"/>
      <c r="AA11" s="53"/>
      <c r="AB11" s="53"/>
      <c r="AC11" s="53"/>
      <c r="AD11" s="53"/>
      <c r="AE11" s="53"/>
      <c r="AF11" s="53"/>
      <c r="AG11" s="53"/>
      <c r="AH11" s="53"/>
      <c r="AI11" s="53"/>
    </row>
    <row r="12" spans="1:35" s="28" customFormat="1" ht="24">
      <c r="A12" s="342"/>
      <c r="B12" s="328"/>
      <c r="C12" s="120">
        <v>5</v>
      </c>
      <c r="D12" s="121" t="s">
        <v>162</v>
      </c>
      <c r="E12" s="200"/>
      <c r="F12" s="70"/>
      <c r="G12" s="207"/>
      <c r="H12" s="286" t="s">
        <v>153</v>
      </c>
      <c r="I12" s="202" t="s">
        <v>154</v>
      </c>
      <c r="J12" s="201" t="s">
        <v>155</v>
      </c>
      <c r="K12" s="207"/>
      <c r="L12" s="208" t="s">
        <v>156</v>
      </c>
      <c r="M12" s="247"/>
      <c r="N12" s="201" t="s">
        <v>157</v>
      </c>
      <c r="O12" s="272" t="s">
        <v>158</v>
      </c>
      <c r="P12" s="204" t="s">
        <v>159</v>
      </c>
      <c r="Q12" s="303" t="s">
        <v>147</v>
      </c>
      <c r="R12" s="207" t="s">
        <v>160</v>
      </c>
      <c r="S12" s="297" t="s">
        <v>163</v>
      </c>
      <c r="T12" s="323" t="s">
        <v>161</v>
      </c>
      <c r="U12" s="70"/>
      <c r="V12" s="70"/>
      <c r="W12" s="70"/>
      <c r="X12" s="70"/>
      <c r="Y12" s="70"/>
      <c r="Z12" s="53"/>
      <c r="AA12" s="53"/>
      <c r="AB12" s="53"/>
      <c r="AC12" s="53"/>
      <c r="AD12" s="53"/>
      <c r="AE12" s="53"/>
      <c r="AF12" s="53"/>
      <c r="AG12" s="53"/>
      <c r="AH12" s="53"/>
      <c r="AI12" s="53"/>
    </row>
    <row r="13" spans="1:35" s="28" customFormat="1" ht="24">
      <c r="A13" s="342"/>
      <c r="B13" s="328"/>
      <c r="C13" s="120">
        <v>6</v>
      </c>
      <c r="D13" s="121" t="s">
        <v>164</v>
      </c>
      <c r="E13" s="70"/>
      <c r="F13" s="70"/>
      <c r="G13" s="207"/>
      <c r="H13" s="286" t="s">
        <v>153</v>
      </c>
      <c r="I13" s="202" t="s">
        <v>154</v>
      </c>
      <c r="J13" s="201" t="s">
        <v>155</v>
      </c>
      <c r="K13" s="207"/>
      <c r="L13" s="208" t="s">
        <v>156</v>
      </c>
      <c r="M13" s="247"/>
      <c r="N13" s="201" t="s">
        <v>157</v>
      </c>
      <c r="O13" s="272" t="s">
        <v>158</v>
      </c>
      <c r="P13" s="201" t="s">
        <v>159</v>
      </c>
      <c r="Q13" s="302"/>
      <c r="R13" s="207" t="s">
        <v>160</v>
      </c>
      <c r="S13" s="297" t="s">
        <v>163</v>
      </c>
      <c r="T13" s="323" t="s">
        <v>161</v>
      </c>
      <c r="U13" s="70"/>
      <c r="V13" s="70"/>
      <c r="W13" s="70"/>
      <c r="X13" s="70"/>
      <c r="Y13" s="70"/>
      <c r="Z13" s="53"/>
      <c r="AA13" s="53"/>
      <c r="AB13" s="53"/>
      <c r="AC13" s="53"/>
      <c r="AD13" s="53"/>
      <c r="AE13" s="53"/>
      <c r="AF13" s="53"/>
      <c r="AG13" s="53"/>
      <c r="AH13" s="53"/>
      <c r="AI13" s="53"/>
    </row>
    <row r="14" spans="1:35" s="28" customFormat="1" ht="24" customHeight="1">
      <c r="A14" s="342"/>
      <c r="B14" s="328"/>
      <c r="C14" s="120">
        <v>7</v>
      </c>
      <c r="D14" s="121" t="s">
        <v>165</v>
      </c>
      <c r="E14" s="70"/>
      <c r="F14" s="70"/>
      <c r="G14" s="279" t="s">
        <v>166</v>
      </c>
      <c r="H14" s="202"/>
      <c r="I14" s="202" t="s">
        <v>154</v>
      </c>
      <c r="J14" s="202"/>
      <c r="K14" s="189" t="s">
        <v>167</v>
      </c>
      <c r="L14" s="208" t="s">
        <v>156</v>
      </c>
      <c r="M14" s="189"/>
      <c r="N14" s="201" t="s">
        <v>157</v>
      </c>
      <c r="O14" s="201"/>
      <c r="P14" s="201" t="s">
        <v>168</v>
      </c>
      <c r="Q14" s="309"/>
      <c r="R14" s="209"/>
      <c r="S14" s="297" t="s">
        <v>163</v>
      </c>
      <c r="T14" s="323" t="s">
        <v>161</v>
      </c>
      <c r="U14" s="70"/>
      <c r="V14" s="70"/>
      <c r="W14" s="70"/>
      <c r="X14" s="70"/>
      <c r="Y14" s="70"/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  <row r="15" spans="1:35" s="28" customFormat="1" ht="27" customHeight="1">
      <c r="A15" s="342"/>
      <c r="B15" s="328"/>
      <c r="C15" s="120">
        <v>8</v>
      </c>
      <c r="D15" s="121" t="s">
        <v>169</v>
      </c>
      <c r="E15" s="203"/>
      <c r="F15" s="53"/>
      <c r="G15" s="279" t="s">
        <v>166</v>
      </c>
      <c r="H15" s="202"/>
      <c r="I15" s="202" t="s">
        <v>170</v>
      </c>
      <c r="J15" s="202"/>
      <c r="K15" s="189" t="s">
        <v>167</v>
      </c>
      <c r="L15" s="201"/>
      <c r="M15" s="210"/>
      <c r="N15" s="189" t="s">
        <v>157</v>
      </c>
      <c r="O15" s="201"/>
      <c r="P15" s="238" t="s">
        <v>168</v>
      </c>
      <c r="Q15" s="201"/>
      <c r="R15" s="70"/>
      <c r="S15" s="208"/>
      <c r="T15" s="313" t="s">
        <v>171</v>
      </c>
      <c r="U15" s="202"/>
      <c r="V15" s="70"/>
      <c r="W15" s="70"/>
      <c r="X15" s="70"/>
      <c r="Y15" s="70"/>
      <c r="Z15" s="53"/>
      <c r="AA15" s="53"/>
      <c r="AB15" s="53"/>
      <c r="AC15" s="53"/>
      <c r="AD15" s="53"/>
      <c r="AE15" s="53"/>
      <c r="AF15" s="53"/>
      <c r="AG15" s="53"/>
      <c r="AH15" s="53"/>
      <c r="AI15" s="53"/>
    </row>
    <row r="16" spans="1:35" s="28" customFormat="1" ht="33.950000000000003">
      <c r="A16" s="342"/>
      <c r="B16" s="328"/>
      <c r="C16" s="120">
        <v>9</v>
      </c>
      <c r="D16" s="121" t="s">
        <v>172</v>
      </c>
      <c r="E16" s="203"/>
      <c r="F16" s="70"/>
      <c r="G16" s="279" t="s">
        <v>166</v>
      </c>
      <c r="H16" s="202"/>
      <c r="I16" s="202"/>
      <c r="J16" s="202"/>
      <c r="K16" s="189" t="s">
        <v>167</v>
      </c>
      <c r="L16" s="201"/>
      <c r="M16" s="201"/>
      <c r="N16" s="189"/>
      <c r="O16" s="204"/>
      <c r="P16" s="325" t="s">
        <v>173</v>
      </c>
      <c r="Q16" s="201"/>
      <c r="R16" s="70"/>
      <c r="S16" s="208"/>
      <c r="T16" s="313" t="s">
        <v>171</v>
      </c>
      <c r="U16" s="202"/>
      <c r="V16" s="171"/>
      <c r="W16" s="70"/>
      <c r="X16" s="70"/>
      <c r="Y16" s="70"/>
      <c r="Z16" s="53"/>
      <c r="AA16" s="53"/>
      <c r="AB16" s="53"/>
      <c r="AC16" s="53"/>
      <c r="AD16" s="53"/>
      <c r="AE16" s="53"/>
      <c r="AF16" s="53"/>
      <c r="AG16" s="53"/>
      <c r="AH16" s="53"/>
      <c r="AI16" s="53"/>
    </row>
    <row r="17" spans="1:35" s="28" customFormat="1" ht="24">
      <c r="A17" s="342"/>
      <c r="B17" s="328"/>
      <c r="C17" s="120">
        <v>10</v>
      </c>
      <c r="D17" s="121" t="s">
        <v>174</v>
      </c>
      <c r="E17" s="203"/>
      <c r="F17" s="70"/>
      <c r="G17" s="70"/>
      <c r="H17" s="202"/>
      <c r="I17" s="201" t="s">
        <v>175</v>
      </c>
      <c r="J17" s="70"/>
      <c r="K17" s="203"/>
      <c r="L17" s="202"/>
      <c r="M17" s="201" t="s">
        <v>176</v>
      </c>
      <c r="N17" s="201"/>
      <c r="O17" s="204"/>
      <c r="P17" s="324"/>
      <c r="Q17" s="201"/>
      <c r="R17" s="186"/>
      <c r="S17" s="211"/>
      <c r="T17" s="184"/>
      <c r="U17" s="202"/>
      <c r="V17" s="171"/>
      <c r="W17" s="70"/>
      <c r="X17" s="70"/>
      <c r="Y17" s="70"/>
      <c r="Z17" s="53"/>
      <c r="AA17" s="53"/>
      <c r="AB17" s="53"/>
      <c r="AC17" s="53"/>
      <c r="AD17" s="53"/>
      <c r="AE17" s="53"/>
      <c r="AF17" s="53"/>
      <c r="AG17" s="53"/>
      <c r="AH17" s="53"/>
      <c r="AI17" s="53"/>
    </row>
    <row r="18" spans="1:35" s="28" customFormat="1" ht="24">
      <c r="A18" s="342"/>
      <c r="B18" s="328"/>
      <c r="C18" s="120">
        <v>11</v>
      </c>
      <c r="D18" s="121" t="s">
        <v>177</v>
      </c>
      <c r="E18" s="203"/>
      <c r="F18" s="70"/>
      <c r="G18" s="70"/>
      <c r="H18" s="202"/>
      <c r="I18" s="201" t="s">
        <v>175</v>
      </c>
      <c r="J18" s="70"/>
      <c r="K18" s="203"/>
      <c r="L18" s="202"/>
      <c r="M18" s="201" t="s">
        <v>176</v>
      </c>
      <c r="N18" s="201"/>
      <c r="O18" s="201"/>
      <c r="P18" s="210"/>
      <c r="Q18" s="201"/>
      <c r="R18" s="212"/>
      <c r="S18" s="213"/>
      <c r="T18" s="301"/>
      <c r="U18" s="202"/>
      <c r="V18" s="171"/>
      <c r="W18" s="70"/>
      <c r="X18" s="70"/>
      <c r="Y18" s="70"/>
      <c r="Z18" s="53"/>
      <c r="AA18" s="53"/>
      <c r="AB18" s="53"/>
      <c r="AC18" s="53"/>
      <c r="AD18" s="53"/>
      <c r="AE18" s="53"/>
      <c r="AF18" s="53"/>
      <c r="AG18" s="53"/>
      <c r="AH18" s="53"/>
      <c r="AI18" s="53"/>
    </row>
    <row r="19" spans="1:35" s="28" customFormat="1" ht="24">
      <c r="A19" s="342"/>
      <c r="B19" s="329"/>
      <c r="C19" s="120">
        <v>12</v>
      </c>
      <c r="D19" s="121" t="s">
        <v>178</v>
      </c>
      <c r="E19" s="203"/>
      <c r="F19" s="70"/>
      <c r="G19" s="70"/>
      <c r="H19" s="202"/>
      <c r="I19" s="201" t="s">
        <v>175</v>
      </c>
      <c r="J19" s="182"/>
      <c r="K19" s="203"/>
      <c r="L19" s="202"/>
      <c r="M19" s="201" t="s">
        <v>176</v>
      </c>
      <c r="N19" s="201"/>
      <c r="O19" s="201"/>
      <c r="P19" s="201"/>
      <c r="Q19" s="201"/>
      <c r="R19" s="186"/>
      <c r="S19" s="186"/>
      <c r="T19" s="184"/>
      <c r="U19" s="202"/>
      <c r="V19" s="171"/>
      <c r="W19" s="70"/>
      <c r="X19" s="70"/>
      <c r="Y19" s="70"/>
      <c r="Z19" s="53"/>
      <c r="AA19" s="53"/>
      <c r="AB19" s="53"/>
      <c r="AC19" s="53"/>
      <c r="AD19" s="53"/>
      <c r="AE19" s="53"/>
      <c r="AF19" s="53"/>
      <c r="AG19" s="53"/>
      <c r="AH19" s="53"/>
      <c r="AI19" s="53"/>
    </row>
    <row r="20" spans="1:35" ht="24">
      <c r="A20" s="342"/>
      <c r="B20" s="330" t="s">
        <v>179</v>
      </c>
      <c r="C20" s="122">
        <v>1</v>
      </c>
      <c r="D20" s="132" t="s">
        <v>138</v>
      </c>
      <c r="E20" s="71"/>
      <c r="F20" s="71"/>
      <c r="G20" s="71"/>
      <c r="H20" s="214" t="s">
        <v>180</v>
      </c>
      <c r="I20" s="222" t="s">
        <v>181</v>
      </c>
      <c r="J20" s="214"/>
      <c r="K20" s="265" t="s">
        <v>182</v>
      </c>
      <c r="L20" s="214" t="s">
        <v>183</v>
      </c>
      <c r="N20" s="214" t="s">
        <v>184</v>
      </c>
      <c r="O20" s="214" t="s">
        <v>185</v>
      </c>
      <c r="P20" s="214"/>
      <c r="Q20" s="215"/>
      <c r="R20" s="216" t="s">
        <v>186</v>
      </c>
      <c r="S20" s="216"/>
      <c r="T20" s="275" t="s">
        <v>187</v>
      </c>
      <c r="U20" s="188"/>
      <c r="V20" s="71"/>
      <c r="W20" s="71"/>
      <c r="X20" s="71"/>
      <c r="Y20" s="71"/>
      <c r="Z20" s="60"/>
      <c r="AA20" s="60"/>
      <c r="AB20" s="60"/>
      <c r="AC20" s="60"/>
      <c r="AD20" s="60"/>
      <c r="AE20" s="60"/>
      <c r="AF20" s="60"/>
      <c r="AG20" s="60"/>
      <c r="AH20" s="60"/>
      <c r="AI20" s="60"/>
    </row>
    <row r="21" spans="1:35" ht="24">
      <c r="A21" s="342"/>
      <c r="B21" s="331"/>
      <c r="C21" s="122">
        <v>2</v>
      </c>
      <c r="D21" s="132" t="s">
        <v>146</v>
      </c>
      <c r="E21" s="71"/>
      <c r="F21" s="71"/>
      <c r="G21" s="71"/>
      <c r="H21" s="214" t="s">
        <v>180</v>
      </c>
      <c r="I21" s="222" t="s">
        <v>181</v>
      </c>
      <c r="J21" s="214"/>
      <c r="K21" s="265" t="s">
        <v>182</v>
      </c>
      <c r="L21" s="214" t="s">
        <v>183</v>
      </c>
      <c r="N21" s="214" t="s">
        <v>184</v>
      </c>
      <c r="O21" s="214" t="s">
        <v>185</v>
      </c>
      <c r="P21" s="214"/>
      <c r="Q21" s="217"/>
      <c r="R21" s="216" t="s">
        <v>186</v>
      </c>
      <c r="S21" s="187" t="s">
        <v>188</v>
      </c>
      <c r="T21" s="275" t="s">
        <v>187</v>
      </c>
      <c r="U21" s="188"/>
      <c r="V21" s="71"/>
      <c r="W21" s="71"/>
      <c r="X21" s="71"/>
      <c r="Y21" s="71"/>
      <c r="Z21" s="60"/>
      <c r="AA21" s="60"/>
      <c r="AB21" s="60"/>
      <c r="AC21" s="60"/>
      <c r="AD21" s="60"/>
      <c r="AE21" s="60"/>
      <c r="AF21" s="60"/>
      <c r="AG21" s="60"/>
      <c r="AH21" s="60"/>
      <c r="AI21" s="60"/>
    </row>
    <row r="22" spans="1:35" ht="24">
      <c r="A22" s="342"/>
      <c r="B22" s="331"/>
      <c r="C22" s="122">
        <v>3</v>
      </c>
      <c r="D22" s="132" t="s">
        <v>149</v>
      </c>
      <c r="E22" s="71"/>
      <c r="F22" s="71"/>
      <c r="G22" s="71"/>
      <c r="H22" s="214" t="s">
        <v>180</v>
      </c>
      <c r="I22" s="222" t="s">
        <v>181</v>
      </c>
      <c r="J22" s="281" t="s">
        <v>189</v>
      </c>
      <c r="K22" s="265" t="s">
        <v>182</v>
      </c>
      <c r="L22" s="214" t="s">
        <v>183</v>
      </c>
      <c r="N22" s="214" t="s">
        <v>184</v>
      </c>
      <c r="O22" s="214" t="s">
        <v>185</v>
      </c>
      <c r="P22" s="214"/>
      <c r="Q22" s="215"/>
      <c r="R22" s="216" t="s">
        <v>186</v>
      </c>
      <c r="S22" s="320" t="s">
        <v>188</v>
      </c>
      <c r="T22" s="275"/>
      <c r="U22" s="188"/>
      <c r="V22" s="71"/>
      <c r="W22" s="71"/>
      <c r="X22" s="71"/>
      <c r="Y22" s="71"/>
      <c r="Z22" s="60"/>
      <c r="AA22" s="60"/>
      <c r="AB22" s="60"/>
      <c r="AC22" s="60"/>
      <c r="AD22" s="60"/>
      <c r="AE22" s="60"/>
      <c r="AF22" s="60"/>
      <c r="AG22" s="60"/>
      <c r="AH22" s="60"/>
      <c r="AI22" s="60"/>
    </row>
    <row r="23" spans="1:35" ht="24">
      <c r="A23" s="342"/>
      <c r="B23" s="331"/>
      <c r="C23" s="122">
        <v>4</v>
      </c>
      <c r="D23" s="132" t="s">
        <v>152</v>
      </c>
      <c r="E23" s="71"/>
      <c r="F23" s="71"/>
      <c r="G23" s="214" t="s">
        <v>190</v>
      </c>
      <c r="H23" s="214" t="s">
        <v>191</v>
      </c>
      <c r="I23" s="214" t="s">
        <v>192</v>
      </c>
      <c r="J23" s="253"/>
      <c r="K23" s="214" t="s">
        <v>193</v>
      </c>
      <c r="L23" s="269" t="s">
        <v>194</v>
      </c>
      <c r="M23" s="214" t="s">
        <v>195</v>
      </c>
      <c r="N23" s="214" t="s">
        <v>196</v>
      </c>
      <c r="O23" s="242" t="s">
        <v>197</v>
      </c>
      <c r="P23" s="271" t="s">
        <v>198</v>
      </c>
      <c r="Q23" s="215" t="s">
        <v>199</v>
      </c>
      <c r="R23" s="218"/>
      <c r="S23" s="71" t="s">
        <v>188</v>
      </c>
      <c r="T23" s="319" t="s">
        <v>200</v>
      </c>
      <c r="U23" s="284" t="s">
        <v>201</v>
      </c>
      <c r="V23" s="71"/>
      <c r="W23" s="71"/>
      <c r="X23" s="71"/>
      <c r="Y23" s="71"/>
      <c r="Z23" s="60"/>
      <c r="AA23" s="60"/>
      <c r="AB23" s="60"/>
      <c r="AC23" s="60"/>
      <c r="AD23" s="60"/>
      <c r="AE23" s="60"/>
      <c r="AF23" s="60"/>
      <c r="AG23" s="60"/>
      <c r="AH23" s="60"/>
      <c r="AI23" s="60"/>
    </row>
    <row r="24" spans="1:35" ht="24.95">
      <c r="A24" s="342"/>
      <c r="B24" s="331"/>
      <c r="C24" s="122">
        <v>5</v>
      </c>
      <c r="D24" s="132" t="s">
        <v>162</v>
      </c>
      <c r="E24" s="71"/>
      <c r="F24" s="71"/>
      <c r="G24" s="214" t="s">
        <v>190</v>
      </c>
      <c r="H24" s="214" t="s">
        <v>191</v>
      </c>
      <c r="I24" s="214" t="s">
        <v>192</v>
      </c>
      <c r="J24" s="214" t="s">
        <v>202</v>
      </c>
      <c r="K24" s="214" t="s">
        <v>193</v>
      </c>
      <c r="L24" s="269" t="s">
        <v>194</v>
      </c>
      <c r="M24" s="214" t="s">
        <v>195</v>
      </c>
      <c r="N24" s="214" t="s">
        <v>196</v>
      </c>
      <c r="O24" s="242" t="s">
        <v>197</v>
      </c>
      <c r="P24" s="271" t="s">
        <v>198</v>
      </c>
      <c r="Q24" s="215" t="s">
        <v>199</v>
      </c>
      <c r="R24" s="188" t="s">
        <v>203</v>
      </c>
      <c r="S24" s="321"/>
      <c r="T24" s="219" t="s">
        <v>200</v>
      </c>
      <c r="U24" s="188"/>
      <c r="V24" s="71"/>
      <c r="W24" s="71"/>
      <c r="X24" s="71"/>
      <c r="Y24" s="71"/>
      <c r="Z24" s="60"/>
      <c r="AA24" s="60"/>
      <c r="AB24" s="60"/>
      <c r="AC24" s="60"/>
      <c r="AD24" s="60"/>
      <c r="AE24" s="60"/>
      <c r="AF24" s="60"/>
      <c r="AG24" s="60"/>
      <c r="AH24" s="60"/>
      <c r="AI24" s="60"/>
    </row>
    <row r="25" spans="1:35" ht="24">
      <c r="A25" s="342"/>
      <c r="B25" s="331"/>
      <c r="C25" s="122">
        <v>6</v>
      </c>
      <c r="D25" s="132" t="s">
        <v>164</v>
      </c>
      <c r="E25" s="71"/>
      <c r="F25" s="71"/>
      <c r="G25" s="214" t="s">
        <v>190</v>
      </c>
      <c r="H25" s="214" t="s">
        <v>191</v>
      </c>
      <c r="I25" s="214" t="s">
        <v>192</v>
      </c>
      <c r="J25" s="214" t="s">
        <v>202</v>
      </c>
      <c r="K25" s="214" t="s">
        <v>193</v>
      </c>
      <c r="L25" s="71"/>
      <c r="M25" s="214" t="s">
        <v>195</v>
      </c>
      <c r="N25" s="214" t="s">
        <v>196</v>
      </c>
      <c r="O25" s="242" t="s">
        <v>197</v>
      </c>
      <c r="P25" s="271" t="s">
        <v>198</v>
      </c>
      <c r="Q25" s="215" t="s">
        <v>199</v>
      </c>
      <c r="R25" s="188" t="s">
        <v>203</v>
      </c>
      <c r="S25" s="188"/>
      <c r="T25" s="273" t="s">
        <v>200</v>
      </c>
      <c r="U25" s="188"/>
      <c r="V25" s="71"/>
      <c r="W25" s="71"/>
      <c r="X25" s="71"/>
      <c r="Y25" s="71"/>
      <c r="Z25" s="60"/>
      <c r="AA25" s="60"/>
      <c r="AB25" s="60"/>
      <c r="AC25" s="60"/>
      <c r="AD25" s="60"/>
      <c r="AE25" s="60"/>
      <c r="AF25" s="60"/>
      <c r="AG25" s="60"/>
      <c r="AH25" s="60"/>
      <c r="AI25" s="60"/>
    </row>
    <row r="26" spans="1:35">
      <c r="A26" s="342"/>
      <c r="B26" s="331"/>
      <c r="C26" s="122">
        <v>7</v>
      </c>
      <c r="D26" s="132" t="s">
        <v>165</v>
      </c>
      <c r="E26" s="71"/>
      <c r="F26" s="71"/>
      <c r="G26" s="71" t="s">
        <v>204</v>
      </c>
      <c r="H26" s="71" t="s">
        <v>205</v>
      </c>
      <c r="I26" s="214" t="s">
        <v>206</v>
      </c>
      <c r="J26" s="214" t="s">
        <v>202</v>
      </c>
      <c r="K26" s="71" t="s">
        <v>207</v>
      </c>
      <c r="L26" s="221"/>
      <c r="M26" s="214"/>
      <c r="N26" s="214"/>
      <c r="O26" s="71"/>
      <c r="P26" s="214"/>
      <c r="Q26" s="298"/>
      <c r="R26" s="188" t="s">
        <v>203</v>
      </c>
      <c r="S26" s="298" t="s">
        <v>208</v>
      </c>
      <c r="T26" s="275" t="s">
        <v>209</v>
      </c>
      <c r="U26" s="188"/>
      <c r="V26" s="71"/>
      <c r="W26" s="71"/>
      <c r="X26" s="71"/>
      <c r="Y26" s="71"/>
      <c r="Z26" s="60"/>
      <c r="AA26" s="60"/>
      <c r="AB26" s="60"/>
      <c r="AC26" s="60"/>
      <c r="AD26" s="60"/>
      <c r="AE26" s="60"/>
      <c r="AF26" s="60"/>
      <c r="AG26" s="60"/>
      <c r="AH26" s="60"/>
      <c r="AI26" s="60"/>
    </row>
    <row r="27" spans="1:35">
      <c r="A27" s="342"/>
      <c r="B27" s="331"/>
      <c r="C27" s="122">
        <v>8</v>
      </c>
      <c r="D27" s="132" t="s">
        <v>169</v>
      </c>
      <c r="E27" s="71"/>
      <c r="F27" s="71"/>
      <c r="G27" s="71" t="s">
        <v>204</v>
      </c>
      <c r="H27" s="71" t="s">
        <v>205</v>
      </c>
      <c r="I27" s="214"/>
      <c r="J27" s="214" t="s">
        <v>202</v>
      </c>
      <c r="K27" s="71" t="s">
        <v>207</v>
      </c>
      <c r="L27" s="221"/>
      <c r="M27" s="265"/>
      <c r="N27" s="221"/>
      <c r="O27" s="71"/>
      <c r="P27" s="214"/>
      <c r="Q27" s="298"/>
      <c r="R27" s="188"/>
      <c r="S27" s="298" t="s">
        <v>208</v>
      </c>
      <c r="T27" s="273" t="s">
        <v>209</v>
      </c>
      <c r="U27" s="71"/>
      <c r="V27" s="71"/>
      <c r="W27" s="71"/>
      <c r="X27" s="71"/>
      <c r="Y27" s="71"/>
      <c r="Z27" s="60"/>
      <c r="AA27" s="60"/>
      <c r="AB27" s="60"/>
      <c r="AC27" s="60"/>
      <c r="AD27" s="60"/>
      <c r="AE27" s="60"/>
      <c r="AF27" s="60"/>
      <c r="AG27" s="60"/>
      <c r="AH27" s="60"/>
      <c r="AI27" s="60"/>
    </row>
    <row r="28" spans="1:35">
      <c r="A28" s="342"/>
      <c r="B28" s="331"/>
      <c r="C28" s="122">
        <v>9</v>
      </c>
      <c r="D28" s="132" t="s">
        <v>172</v>
      </c>
      <c r="E28" s="71"/>
      <c r="F28" s="71"/>
      <c r="G28" s="71" t="s">
        <v>204</v>
      </c>
      <c r="H28" s="71" t="s">
        <v>205</v>
      </c>
      <c r="I28" s="214"/>
      <c r="J28" s="71"/>
      <c r="K28" s="71" t="s">
        <v>207</v>
      </c>
      <c r="L28" s="221"/>
      <c r="M28" s="266"/>
      <c r="N28" s="71"/>
      <c r="O28" s="188"/>
      <c r="P28" s="214"/>
      <c r="Q28" s="298"/>
      <c r="R28" s="71"/>
      <c r="S28" s="298" t="s">
        <v>208</v>
      </c>
      <c r="T28" s="274"/>
      <c r="U28" s="71"/>
      <c r="V28" s="71"/>
      <c r="W28" s="71"/>
      <c r="X28" s="71"/>
      <c r="Y28" s="71"/>
      <c r="Z28" s="60"/>
      <c r="AA28" s="60"/>
      <c r="AB28" s="60"/>
      <c r="AC28" s="60"/>
      <c r="AD28" s="60"/>
      <c r="AE28" s="60"/>
      <c r="AF28" s="60"/>
      <c r="AG28" s="60"/>
      <c r="AH28" s="60"/>
      <c r="AI28" s="60"/>
    </row>
    <row r="29" spans="1:35">
      <c r="A29" s="342"/>
      <c r="B29" s="331"/>
      <c r="C29" s="122">
        <v>10</v>
      </c>
      <c r="D29" s="132" t="s">
        <v>174</v>
      </c>
      <c r="E29" s="71"/>
      <c r="F29" s="71"/>
      <c r="G29" s="71"/>
      <c r="H29" s="71"/>
      <c r="I29" s="71"/>
      <c r="J29" s="71"/>
      <c r="K29" s="187"/>
      <c r="L29" s="71"/>
      <c r="M29" s="287" t="s">
        <v>210</v>
      </c>
      <c r="N29" s="71"/>
      <c r="O29" s="188"/>
      <c r="P29" s="71"/>
      <c r="Q29" s="223"/>
      <c r="R29" s="71"/>
      <c r="S29" s="187"/>
      <c r="T29" s="275"/>
      <c r="U29" s="188"/>
      <c r="V29" s="71"/>
      <c r="W29" s="71"/>
      <c r="X29" s="71"/>
      <c r="Y29" s="71"/>
      <c r="Z29" s="60"/>
      <c r="AA29" s="60"/>
      <c r="AB29" s="60"/>
      <c r="AC29" s="60"/>
      <c r="AD29" s="60"/>
      <c r="AE29" s="60"/>
      <c r="AF29" s="60"/>
      <c r="AG29" s="60"/>
      <c r="AH29" s="60"/>
      <c r="AI29" s="60"/>
    </row>
    <row r="30" spans="1:35">
      <c r="A30" s="342"/>
      <c r="B30" s="331"/>
      <c r="C30" s="122">
        <v>11</v>
      </c>
      <c r="D30" s="132" t="s">
        <v>211</v>
      </c>
      <c r="E30" s="71"/>
      <c r="F30" s="71"/>
      <c r="G30" s="71"/>
      <c r="H30" s="71"/>
      <c r="I30" s="71"/>
      <c r="J30" s="71"/>
      <c r="K30" s="187"/>
      <c r="L30" s="71"/>
      <c r="M30" s="287" t="s">
        <v>210</v>
      </c>
      <c r="N30" s="216"/>
      <c r="O30" s="71"/>
      <c r="P30" s="71"/>
      <c r="Q30" s="223"/>
      <c r="R30" s="71"/>
      <c r="S30" s="187"/>
      <c r="T30" s="275"/>
      <c r="U30" s="188"/>
      <c r="V30" s="71"/>
      <c r="W30" s="71"/>
      <c r="X30" s="71"/>
      <c r="Y30" s="71"/>
      <c r="Z30" s="60"/>
      <c r="AA30" s="60"/>
      <c r="AB30" s="60"/>
      <c r="AC30" s="60"/>
      <c r="AD30" s="60"/>
      <c r="AE30" s="60"/>
      <c r="AF30" s="60"/>
      <c r="AG30" s="60"/>
      <c r="AH30" s="60"/>
      <c r="AI30" s="60"/>
    </row>
    <row r="31" spans="1:35">
      <c r="A31" s="342"/>
      <c r="B31" s="332"/>
      <c r="C31" s="122">
        <v>12</v>
      </c>
      <c r="D31" s="132" t="s">
        <v>178</v>
      </c>
      <c r="E31" s="71"/>
      <c r="F31" s="71"/>
      <c r="G31" s="71"/>
      <c r="H31" s="71"/>
      <c r="I31" s="221"/>
      <c r="J31" s="71"/>
      <c r="K31" s="187"/>
      <c r="L31" s="71"/>
      <c r="M31" s="287" t="s">
        <v>210</v>
      </c>
      <c r="N31" s="71"/>
      <c r="O31" s="71"/>
      <c r="P31" s="71"/>
      <c r="Q31" s="223"/>
      <c r="R31" s="71"/>
      <c r="S31" s="71"/>
      <c r="T31" s="300"/>
      <c r="U31" s="71"/>
      <c r="V31" s="71"/>
      <c r="W31" s="71"/>
      <c r="X31" s="71"/>
      <c r="Y31" s="71"/>
      <c r="Z31" s="60"/>
      <c r="AA31" s="60"/>
      <c r="AB31" s="60"/>
      <c r="AC31" s="60"/>
      <c r="AD31" s="60"/>
      <c r="AE31" s="60"/>
      <c r="AF31" s="60"/>
      <c r="AG31" s="60"/>
      <c r="AH31" s="60"/>
      <c r="AI31" s="60"/>
    </row>
    <row r="32" spans="1:35" s="28" customFormat="1" ht="36">
      <c r="A32" s="342"/>
      <c r="B32" s="327" t="s">
        <v>212</v>
      </c>
      <c r="C32" s="120">
        <v>1</v>
      </c>
      <c r="D32" s="121" t="s">
        <v>138</v>
      </c>
      <c r="E32" s="203"/>
      <c r="F32" s="70"/>
      <c r="G32" s="270" t="s">
        <v>213</v>
      </c>
      <c r="H32" s="224" t="s">
        <v>214</v>
      </c>
      <c r="I32" s="189"/>
      <c r="J32" s="201" t="s">
        <v>215</v>
      </c>
      <c r="K32" s="189" t="s">
        <v>216</v>
      </c>
      <c r="L32" s="256" t="s">
        <v>217</v>
      </c>
      <c r="M32" s="189" t="s">
        <v>218</v>
      </c>
      <c r="N32" s="189" t="s">
        <v>219</v>
      </c>
      <c r="O32" s="207" t="s">
        <v>220</v>
      </c>
      <c r="P32" s="207" t="s">
        <v>221</v>
      </c>
      <c r="Q32" s="201"/>
      <c r="R32" s="70" t="s">
        <v>222</v>
      </c>
      <c r="S32" s="225"/>
      <c r="T32" s="70"/>
      <c r="U32" s="202"/>
      <c r="V32" s="70"/>
      <c r="W32" s="70"/>
      <c r="X32" s="70"/>
      <c r="Y32" s="70"/>
      <c r="Z32" s="53"/>
      <c r="AA32" s="53"/>
      <c r="AB32" s="53"/>
      <c r="AC32" s="53"/>
      <c r="AD32" s="53"/>
      <c r="AE32" s="53"/>
      <c r="AF32" s="53"/>
      <c r="AG32" s="53"/>
      <c r="AH32" s="53"/>
      <c r="AI32" s="53"/>
    </row>
    <row r="33" spans="1:35" s="28" customFormat="1" ht="36">
      <c r="A33" s="342"/>
      <c r="B33" s="328"/>
      <c r="C33" s="120">
        <v>2</v>
      </c>
      <c r="D33" s="121" t="s">
        <v>146</v>
      </c>
      <c r="E33" s="203"/>
      <c r="F33" s="70"/>
      <c r="G33" s="270" t="s">
        <v>213</v>
      </c>
      <c r="H33" s="224" t="s">
        <v>214</v>
      </c>
      <c r="I33" s="189"/>
      <c r="J33" s="201" t="s">
        <v>215</v>
      </c>
      <c r="K33" s="189" t="s">
        <v>216</v>
      </c>
      <c r="L33" s="189" t="s">
        <v>217</v>
      </c>
      <c r="M33" s="189" t="s">
        <v>218</v>
      </c>
      <c r="N33" s="189" t="s">
        <v>219</v>
      </c>
      <c r="O33" s="207" t="s">
        <v>220</v>
      </c>
      <c r="P33" s="207" t="s">
        <v>221</v>
      </c>
      <c r="Q33" s="201"/>
      <c r="R33" s="70" t="s">
        <v>222</v>
      </c>
      <c r="S33" s="225"/>
      <c r="T33" s="70"/>
      <c r="U33" s="226"/>
      <c r="V33" s="182"/>
      <c r="W33" s="182"/>
      <c r="X33" s="182"/>
      <c r="Y33" s="182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</row>
    <row r="34" spans="1:35" s="53" customFormat="1" ht="36">
      <c r="A34" s="342"/>
      <c r="B34" s="328"/>
      <c r="C34" s="120">
        <v>3</v>
      </c>
      <c r="D34" s="121" t="s">
        <v>149</v>
      </c>
      <c r="E34" s="203"/>
      <c r="F34" s="70"/>
      <c r="G34" s="270" t="s">
        <v>213</v>
      </c>
      <c r="H34" s="224" t="s">
        <v>214</v>
      </c>
      <c r="I34" s="271" t="s">
        <v>223</v>
      </c>
      <c r="J34" s="201" t="s">
        <v>215</v>
      </c>
      <c r="K34" s="189" t="s">
        <v>216</v>
      </c>
      <c r="L34" s="189" t="s">
        <v>217</v>
      </c>
      <c r="M34" s="189" t="s">
        <v>218</v>
      </c>
      <c r="N34" s="189" t="s">
        <v>219</v>
      </c>
      <c r="O34" s="207" t="s">
        <v>220</v>
      </c>
      <c r="P34" s="207" t="s">
        <v>221</v>
      </c>
      <c r="Q34" s="201"/>
      <c r="R34" s="70" t="s">
        <v>222</v>
      </c>
      <c r="S34" s="225"/>
      <c r="T34" s="70"/>
      <c r="U34" s="70"/>
      <c r="V34" s="70"/>
      <c r="W34" s="70"/>
      <c r="X34" s="70"/>
      <c r="Y34" s="70"/>
    </row>
    <row r="35" spans="1:35" s="53" customFormat="1" ht="24">
      <c r="A35" s="342"/>
      <c r="B35" s="328"/>
      <c r="C35" s="120">
        <v>4</v>
      </c>
      <c r="D35" s="121" t="s">
        <v>152</v>
      </c>
      <c r="E35" s="203"/>
      <c r="F35" s="70"/>
      <c r="G35" s="189" t="s">
        <v>224</v>
      </c>
      <c r="H35" s="224"/>
      <c r="I35" s="308" t="s">
        <v>154</v>
      </c>
      <c r="J35" s="201" t="s">
        <v>225</v>
      </c>
      <c r="K35" s="189" t="s">
        <v>226</v>
      </c>
      <c r="L35" s="207" t="s">
        <v>227</v>
      </c>
      <c r="M35" s="205" t="s">
        <v>228</v>
      </c>
      <c r="N35" s="189" t="s">
        <v>219</v>
      </c>
      <c r="O35" s="229" t="s">
        <v>229</v>
      </c>
      <c r="P35" s="207" t="s">
        <v>230</v>
      </c>
      <c r="Q35" s="297" t="s">
        <v>231</v>
      </c>
      <c r="R35" s="70"/>
      <c r="S35" s="225" t="s">
        <v>232</v>
      </c>
      <c r="T35" s="230"/>
      <c r="U35" s="70"/>
      <c r="V35" s="70"/>
      <c r="W35" s="70"/>
      <c r="X35" s="70"/>
      <c r="Y35" s="70"/>
    </row>
    <row r="36" spans="1:35" s="28" customFormat="1" ht="24">
      <c r="A36" s="342"/>
      <c r="B36" s="328"/>
      <c r="C36" s="120">
        <v>5</v>
      </c>
      <c r="D36" s="121" t="s">
        <v>162</v>
      </c>
      <c r="E36" s="186"/>
      <c r="F36" s="186"/>
      <c r="G36" s="189" t="s">
        <v>224</v>
      </c>
      <c r="H36" s="224" t="s">
        <v>196</v>
      </c>
      <c r="I36" s="308" t="s">
        <v>154</v>
      </c>
      <c r="J36" s="201" t="s">
        <v>225</v>
      </c>
      <c r="K36" s="189" t="s">
        <v>226</v>
      </c>
      <c r="L36" s="207" t="s">
        <v>227</v>
      </c>
      <c r="M36" s="205" t="s">
        <v>228</v>
      </c>
      <c r="N36" s="282" t="s">
        <v>233</v>
      </c>
      <c r="O36" s="229" t="s">
        <v>229</v>
      </c>
      <c r="P36" s="207" t="s">
        <v>230</v>
      </c>
      <c r="Q36" s="297" t="s">
        <v>231</v>
      </c>
      <c r="R36" s="189" t="s">
        <v>234</v>
      </c>
      <c r="S36" s="186" t="s">
        <v>232</v>
      </c>
      <c r="T36" s="231" t="s">
        <v>235</v>
      </c>
      <c r="U36" s="186"/>
      <c r="V36" s="186"/>
      <c r="W36" s="186"/>
      <c r="X36" s="186"/>
      <c r="Y36" s="186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</row>
    <row r="37" spans="1:35" s="28" customFormat="1" ht="24">
      <c r="A37" s="342"/>
      <c r="B37" s="328"/>
      <c r="C37" s="120">
        <v>6</v>
      </c>
      <c r="D37" s="121" t="s">
        <v>164</v>
      </c>
      <c r="E37" s="70"/>
      <c r="F37" s="70"/>
      <c r="G37" s="189" t="s">
        <v>224</v>
      </c>
      <c r="H37" s="224" t="s">
        <v>196</v>
      </c>
      <c r="I37" s="308" t="s">
        <v>154</v>
      </c>
      <c r="J37" s="201" t="s">
        <v>225</v>
      </c>
      <c r="K37" s="189" t="s">
        <v>226</v>
      </c>
      <c r="L37" s="207"/>
      <c r="M37" s="205" t="s">
        <v>228</v>
      </c>
      <c r="N37" s="189" t="s">
        <v>196</v>
      </c>
      <c r="O37" s="229" t="s">
        <v>229</v>
      </c>
      <c r="P37" s="207"/>
      <c r="Q37" s="297" t="s">
        <v>231</v>
      </c>
      <c r="R37" s="189" t="s">
        <v>234</v>
      </c>
      <c r="S37" s="70" t="s">
        <v>232</v>
      </c>
      <c r="T37" s="234" t="s">
        <v>235</v>
      </c>
      <c r="U37" s="70"/>
      <c r="V37" s="70"/>
      <c r="W37" s="70"/>
      <c r="X37" s="70"/>
      <c r="Y37" s="70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 spans="1:35" s="28" customFormat="1" ht="24">
      <c r="A38" s="342"/>
      <c r="B38" s="328"/>
      <c r="C38" s="120">
        <v>7</v>
      </c>
      <c r="D38" s="121" t="s">
        <v>165</v>
      </c>
      <c r="E38" s="70"/>
      <c r="F38" s="70"/>
      <c r="G38" s="256" t="s">
        <v>236</v>
      </c>
      <c r="H38" s="70"/>
      <c r="I38" s="308" t="s">
        <v>154</v>
      </c>
      <c r="K38" s="189" t="s">
        <v>237</v>
      </c>
      <c r="L38" s="203"/>
      <c r="M38" s="205" t="s">
        <v>238</v>
      </c>
      <c r="N38" s="189" t="s">
        <v>196</v>
      </c>
      <c r="O38" s="284" t="s">
        <v>239</v>
      </c>
      <c r="P38" s="207"/>
      <c r="Q38" s="201"/>
      <c r="R38" s="189" t="s">
        <v>234</v>
      </c>
      <c r="S38" s="233"/>
      <c r="T38" s="70" t="s">
        <v>240</v>
      </c>
      <c r="U38" s="70"/>
      <c r="V38" s="70"/>
      <c r="W38" s="70"/>
      <c r="X38" s="70"/>
      <c r="Y38" s="70"/>
      <c r="Z38" s="53"/>
      <c r="AA38" s="53"/>
      <c r="AB38" s="53"/>
      <c r="AC38" s="53"/>
      <c r="AD38" s="53"/>
      <c r="AE38" s="53"/>
      <c r="AF38" s="53"/>
      <c r="AG38" s="53"/>
      <c r="AH38" s="53"/>
      <c r="AI38" s="53"/>
    </row>
    <row r="39" spans="1:35" s="28" customFormat="1" ht="24">
      <c r="A39" s="342"/>
      <c r="B39" s="328"/>
      <c r="C39" s="120">
        <v>8</v>
      </c>
      <c r="D39" s="121" t="s">
        <v>169</v>
      </c>
      <c r="E39" s="70"/>
      <c r="F39" s="70"/>
      <c r="G39" s="256" t="s">
        <v>236</v>
      </c>
      <c r="H39" s="70"/>
      <c r="I39" s="186"/>
      <c r="K39" s="189" t="s">
        <v>237</v>
      </c>
      <c r="L39" s="288" t="s">
        <v>241</v>
      </c>
      <c r="M39" s="205" t="s">
        <v>238</v>
      </c>
      <c r="N39" s="189"/>
      <c r="O39" s="284" t="s">
        <v>239</v>
      </c>
      <c r="P39" s="207"/>
      <c r="Q39" s="201"/>
      <c r="R39" s="233"/>
      <c r="S39" s="233"/>
      <c r="T39" s="70" t="s">
        <v>240</v>
      </c>
      <c r="U39" s="70"/>
      <c r="V39" s="70"/>
      <c r="W39" s="70"/>
      <c r="X39" s="70"/>
      <c r="Y39" s="70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 s="28" customFormat="1" ht="24">
      <c r="A40" s="342"/>
      <c r="B40" s="328"/>
      <c r="C40" s="120">
        <v>9</v>
      </c>
      <c r="D40" s="121" t="s">
        <v>172</v>
      </c>
      <c r="E40" s="70"/>
      <c r="F40" s="70"/>
      <c r="G40" s="256" t="s">
        <v>236</v>
      </c>
      <c r="H40" s="70"/>
      <c r="I40" s="70" t="s">
        <v>242</v>
      </c>
      <c r="K40" s="189" t="s">
        <v>237</v>
      </c>
      <c r="L40" s="203"/>
      <c r="M40" s="205" t="s">
        <v>238</v>
      </c>
      <c r="N40" s="189"/>
      <c r="O40" s="284" t="s">
        <v>239</v>
      </c>
      <c r="P40" s="207"/>
      <c r="Q40" s="201"/>
      <c r="R40" s="233"/>
      <c r="S40" s="233"/>
      <c r="T40" s="70" t="s">
        <v>240</v>
      </c>
      <c r="U40" s="70"/>
      <c r="V40" s="70"/>
      <c r="W40" s="70"/>
      <c r="X40" s="70"/>
      <c r="Y40" s="70"/>
      <c r="Z40" s="53"/>
      <c r="AA40" s="53"/>
      <c r="AB40" s="53"/>
      <c r="AC40" s="53"/>
      <c r="AD40" s="53"/>
      <c r="AE40" s="53"/>
      <c r="AF40" s="53"/>
      <c r="AG40" s="53"/>
      <c r="AH40" s="53"/>
      <c r="AI40" s="53"/>
    </row>
    <row r="41" spans="1:35" s="28" customFormat="1" ht="24">
      <c r="A41" s="342"/>
      <c r="B41" s="328"/>
      <c r="C41" s="120">
        <v>10</v>
      </c>
      <c r="D41" s="121" t="s">
        <v>174</v>
      </c>
      <c r="E41" s="70"/>
      <c r="F41" s="70"/>
      <c r="G41" s="70"/>
      <c r="H41" s="70"/>
      <c r="I41" s="189" t="s">
        <v>243</v>
      </c>
      <c r="J41" s="189"/>
      <c r="K41" s="70"/>
      <c r="L41" s="203"/>
      <c r="M41" s="207"/>
      <c r="N41" s="189"/>
      <c r="O41" s="235"/>
      <c r="P41" s="203"/>
      <c r="Q41" s="201"/>
      <c r="R41" s="236"/>
      <c r="S41" s="233"/>
      <c r="T41" s="203"/>
      <c r="U41" s="70"/>
      <c r="V41" s="70"/>
      <c r="W41" s="70"/>
      <c r="X41" s="70"/>
      <c r="Y41" s="70"/>
      <c r="Z41" s="53"/>
      <c r="AA41" s="53"/>
      <c r="AB41" s="53"/>
      <c r="AC41" s="53"/>
      <c r="AD41" s="53"/>
      <c r="AE41" s="53"/>
      <c r="AF41" s="53"/>
      <c r="AG41" s="53"/>
      <c r="AH41" s="53"/>
      <c r="AI41" s="53"/>
    </row>
    <row r="42" spans="1:35" s="28" customFormat="1" ht="24">
      <c r="A42" s="342"/>
      <c r="B42" s="328"/>
      <c r="C42" s="120">
        <v>11</v>
      </c>
      <c r="D42" s="121" t="s">
        <v>177</v>
      </c>
      <c r="E42" s="70"/>
      <c r="F42" s="189"/>
      <c r="G42" s="70"/>
      <c r="H42" s="70"/>
      <c r="I42" s="189" t="s">
        <v>243</v>
      </c>
      <c r="J42" s="189"/>
      <c r="K42" s="70"/>
      <c r="L42" s="203"/>
      <c r="M42" s="207"/>
      <c r="N42" s="189"/>
      <c r="O42" s="235"/>
      <c r="P42" s="203"/>
      <c r="Q42" s="238"/>
      <c r="R42" s="236"/>
      <c r="S42" s="233"/>
      <c r="T42" s="203"/>
      <c r="U42" s="70"/>
      <c r="V42" s="70"/>
      <c r="W42" s="70"/>
      <c r="X42" s="70"/>
      <c r="Y42" s="70"/>
      <c r="Z42" s="53"/>
      <c r="AA42" s="53"/>
      <c r="AB42" s="53"/>
      <c r="AC42" s="53"/>
      <c r="AD42" s="53"/>
      <c r="AE42" s="53"/>
      <c r="AF42" s="53"/>
      <c r="AG42" s="53"/>
      <c r="AH42" s="53"/>
      <c r="AI42" s="53"/>
    </row>
    <row r="43" spans="1:35" s="28" customFormat="1" ht="24">
      <c r="A43" s="342"/>
      <c r="B43" s="329"/>
      <c r="C43" s="120">
        <v>12</v>
      </c>
      <c r="D43" s="121" t="s">
        <v>178</v>
      </c>
      <c r="E43" s="70"/>
      <c r="F43" s="70"/>
      <c r="G43" s="70"/>
      <c r="H43" s="228"/>
      <c r="I43" s="189" t="s">
        <v>243</v>
      </c>
      <c r="J43" s="189"/>
      <c r="K43" s="70"/>
      <c r="L43" s="239"/>
      <c r="M43" s="207"/>
      <c r="N43" s="189"/>
      <c r="O43" s="235"/>
      <c r="P43" s="203"/>
      <c r="Q43" s="238"/>
      <c r="R43" s="236"/>
      <c r="S43" s="233"/>
      <c r="T43" s="203"/>
      <c r="U43" s="70"/>
      <c r="V43" s="70"/>
      <c r="W43" s="70"/>
      <c r="X43" s="70"/>
      <c r="Y43" s="70"/>
      <c r="Z43" s="53"/>
      <c r="AA43" s="53"/>
      <c r="AB43" s="53"/>
      <c r="AC43" s="53"/>
      <c r="AD43" s="53"/>
      <c r="AE43" s="53"/>
      <c r="AF43" s="53"/>
      <c r="AG43" s="53"/>
      <c r="AH43" s="53"/>
      <c r="AI43" s="53"/>
    </row>
    <row r="44" spans="1:35" ht="24">
      <c r="A44" s="342"/>
      <c r="B44" s="330" t="s">
        <v>244</v>
      </c>
      <c r="C44" s="122">
        <v>1</v>
      </c>
      <c r="D44" s="132" t="s">
        <v>138</v>
      </c>
      <c r="E44" s="71"/>
      <c r="F44" s="71"/>
      <c r="G44" s="214" t="s">
        <v>245</v>
      </c>
      <c r="H44" s="222" t="s">
        <v>246</v>
      </c>
      <c r="I44" s="240"/>
      <c r="J44" s="257" t="s">
        <v>247</v>
      </c>
      <c r="K44" s="218"/>
      <c r="L44" s="71"/>
      <c r="M44" s="265" t="s">
        <v>248</v>
      </c>
      <c r="N44" s="71" t="s">
        <v>249</v>
      </c>
      <c r="O44" s="214" t="s">
        <v>250</v>
      </c>
      <c r="P44" s="71"/>
      <c r="Q44" s="299"/>
      <c r="R44" s="71"/>
      <c r="S44" s="299" t="s">
        <v>251</v>
      </c>
      <c r="T44" s="71" t="s">
        <v>252</v>
      </c>
      <c r="U44" s="71"/>
      <c r="V44" s="71"/>
      <c r="W44" s="71"/>
      <c r="X44" s="71"/>
      <c r="Y44" s="71"/>
      <c r="Z44" s="71"/>
      <c r="AA44" s="71"/>
      <c r="AB44" s="71"/>
      <c r="AC44" s="71"/>
      <c r="AD44" s="60"/>
      <c r="AE44" s="60"/>
      <c r="AF44" s="60"/>
      <c r="AG44" s="60"/>
      <c r="AH44" s="60"/>
      <c r="AI44" s="60"/>
    </row>
    <row r="45" spans="1:35" ht="24">
      <c r="A45" s="342"/>
      <c r="B45" s="331"/>
      <c r="C45" s="122">
        <v>2</v>
      </c>
      <c r="D45" s="132" t="s">
        <v>146</v>
      </c>
      <c r="E45" s="71"/>
      <c r="F45" s="71"/>
      <c r="G45" s="214" t="s">
        <v>245</v>
      </c>
      <c r="H45" s="222" t="s">
        <v>246</v>
      </c>
      <c r="I45" s="240" t="s">
        <v>253</v>
      </c>
      <c r="J45" s="257" t="s">
        <v>247</v>
      </c>
      <c r="K45" s="218"/>
      <c r="L45" s="71" t="s">
        <v>254</v>
      </c>
      <c r="M45" s="265" t="s">
        <v>248</v>
      </c>
      <c r="N45" s="71" t="s">
        <v>249</v>
      </c>
      <c r="O45" s="214" t="s">
        <v>250</v>
      </c>
      <c r="P45" s="71"/>
      <c r="Q45" s="299"/>
      <c r="R45" s="71" t="s">
        <v>254</v>
      </c>
      <c r="S45" s="299" t="s">
        <v>251</v>
      </c>
      <c r="T45" s="71" t="s">
        <v>252</v>
      </c>
      <c r="U45" s="71"/>
      <c r="V45" s="71"/>
      <c r="W45" s="71"/>
      <c r="X45" s="71"/>
      <c r="Y45" s="71"/>
      <c r="Z45" s="71"/>
      <c r="AA45" s="71"/>
      <c r="AB45" s="71"/>
      <c r="AC45" s="71"/>
      <c r="AD45" s="60"/>
      <c r="AE45" s="60"/>
      <c r="AF45" s="60"/>
      <c r="AG45" s="60"/>
      <c r="AH45" s="60"/>
      <c r="AI45" s="60"/>
    </row>
    <row r="46" spans="1:35" ht="24">
      <c r="A46" s="342"/>
      <c r="B46" s="331"/>
      <c r="C46" s="122">
        <v>3</v>
      </c>
      <c r="D46" s="132" t="s">
        <v>149</v>
      </c>
      <c r="E46" s="71"/>
      <c r="F46" s="71"/>
      <c r="G46" s="214" t="s">
        <v>245</v>
      </c>
      <c r="H46" s="222" t="s">
        <v>246</v>
      </c>
      <c r="I46" s="240" t="s">
        <v>253</v>
      </c>
      <c r="J46" s="257" t="s">
        <v>247</v>
      </c>
      <c r="K46" s="296" t="s">
        <v>255</v>
      </c>
      <c r="L46" s="71" t="s">
        <v>254</v>
      </c>
      <c r="M46" s="265" t="s">
        <v>248</v>
      </c>
      <c r="N46" s="71" t="s">
        <v>249</v>
      </c>
      <c r="O46" s="214" t="s">
        <v>250</v>
      </c>
      <c r="P46" s="71"/>
      <c r="Q46" s="299"/>
      <c r="R46" s="71" t="s">
        <v>254</v>
      </c>
      <c r="S46" s="299" t="s">
        <v>251</v>
      </c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60"/>
      <c r="AE46" s="60"/>
      <c r="AF46" s="60"/>
      <c r="AG46" s="60"/>
      <c r="AH46" s="60"/>
      <c r="AI46" s="60"/>
    </row>
    <row r="47" spans="1:35" ht="24">
      <c r="A47" s="342"/>
      <c r="B47" s="331"/>
      <c r="C47" s="122">
        <v>4</v>
      </c>
      <c r="D47" s="132" t="s">
        <v>152</v>
      </c>
      <c r="E47" s="71"/>
      <c r="F47" s="71"/>
      <c r="G47" s="214" t="s">
        <v>256</v>
      </c>
      <c r="H47" s="71" t="s">
        <v>257</v>
      </c>
      <c r="I47" s="240" t="s">
        <v>253</v>
      </c>
      <c r="J47" s="214" t="s">
        <v>202</v>
      </c>
      <c r="K47" s="266" t="s">
        <v>258</v>
      </c>
      <c r="L47" s="214" t="s">
        <v>259</v>
      </c>
      <c r="M47" s="265" t="s">
        <v>260</v>
      </c>
      <c r="N47" s="279" t="s">
        <v>261</v>
      </c>
      <c r="O47" s="214" t="s">
        <v>262</v>
      </c>
      <c r="P47" s="241" t="s">
        <v>263</v>
      </c>
      <c r="Q47" s="299"/>
      <c r="R47" s="71"/>
      <c r="S47" s="299" t="s">
        <v>251</v>
      </c>
      <c r="T47" s="71" t="s">
        <v>264</v>
      </c>
      <c r="U47" s="71"/>
      <c r="V47" s="71"/>
      <c r="W47" s="71"/>
      <c r="X47" s="71"/>
      <c r="Y47" s="71"/>
      <c r="Z47" s="71"/>
      <c r="AA47" s="71"/>
      <c r="AB47" s="71"/>
      <c r="AC47" s="71"/>
      <c r="AD47" s="60"/>
      <c r="AE47" s="60"/>
      <c r="AF47" s="60"/>
      <c r="AG47" s="60"/>
      <c r="AH47" s="60"/>
      <c r="AI47" s="60"/>
    </row>
    <row r="48" spans="1:35" ht="24">
      <c r="A48" s="342"/>
      <c r="B48" s="331"/>
      <c r="C48" s="122">
        <v>5</v>
      </c>
      <c r="D48" s="132" t="s">
        <v>162</v>
      </c>
      <c r="E48" s="71"/>
      <c r="F48" s="71"/>
      <c r="G48" s="214" t="s">
        <v>256</v>
      </c>
      <c r="H48" s="71" t="s">
        <v>257</v>
      </c>
      <c r="I48" s="242"/>
      <c r="J48" s="214" t="s">
        <v>202</v>
      </c>
      <c r="K48" s="266" t="s">
        <v>258</v>
      </c>
      <c r="L48" s="214" t="s">
        <v>259</v>
      </c>
      <c r="M48" s="265" t="s">
        <v>260</v>
      </c>
      <c r="N48" s="71" t="s">
        <v>265</v>
      </c>
      <c r="O48" s="214" t="s">
        <v>262</v>
      </c>
      <c r="P48" s="241" t="s">
        <v>263</v>
      </c>
      <c r="Q48" s="299"/>
      <c r="R48" s="279" t="s">
        <v>266</v>
      </c>
      <c r="S48" s="299" t="s">
        <v>267</v>
      </c>
      <c r="T48" s="71" t="s">
        <v>264</v>
      </c>
      <c r="U48" s="279" t="s">
        <v>268</v>
      </c>
      <c r="V48" s="71"/>
      <c r="W48" s="71"/>
      <c r="X48" s="71"/>
      <c r="Y48" s="71"/>
      <c r="Z48" s="71"/>
      <c r="AA48" s="71"/>
      <c r="AB48" s="71"/>
      <c r="AC48" s="71"/>
      <c r="AD48" s="60"/>
      <c r="AE48" s="60"/>
      <c r="AF48" s="60"/>
      <c r="AG48" s="60"/>
      <c r="AH48" s="60"/>
      <c r="AI48" s="60"/>
    </row>
    <row r="49" spans="1:35" ht="24">
      <c r="A49" s="342"/>
      <c r="B49" s="331"/>
      <c r="C49" s="122">
        <v>6</v>
      </c>
      <c r="D49" s="132" t="s">
        <v>164</v>
      </c>
      <c r="E49" s="71"/>
      <c r="F49" s="71"/>
      <c r="G49" s="214" t="s">
        <v>256</v>
      </c>
      <c r="H49" s="71" t="s">
        <v>257</v>
      </c>
      <c r="I49" s="242"/>
      <c r="J49" s="214" t="s">
        <v>202</v>
      </c>
      <c r="K49" s="266" t="s">
        <v>258</v>
      </c>
      <c r="L49" s="214" t="s">
        <v>259</v>
      </c>
      <c r="M49" s="265" t="s">
        <v>260</v>
      </c>
      <c r="N49" s="71" t="s">
        <v>265</v>
      </c>
      <c r="O49" s="214" t="s">
        <v>262</v>
      </c>
      <c r="P49" s="241" t="s">
        <v>263</v>
      </c>
      <c r="Q49" s="299"/>
      <c r="R49" s="71"/>
      <c r="S49" s="299" t="s">
        <v>267</v>
      </c>
      <c r="T49" s="71" t="s">
        <v>264</v>
      </c>
      <c r="U49" s="71"/>
      <c r="V49" s="71"/>
      <c r="W49" s="71"/>
      <c r="X49" s="71"/>
      <c r="Y49" s="71"/>
      <c r="Z49" s="71"/>
      <c r="AA49" s="71"/>
      <c r="AB49" s="71"/>
      <c r="AC49" s="71"/>
      <c r="AD49" s="60"/>
      <c r="AE49" s="60"/>
      <c r="AF49" s="60"/>
      <c r="AG49" s="60"/>
      <c r="AH49" s="60"/>
      <c r="AI49" s="60"/>
    </row>
    <row r="50" spans="1:35" s="115" customFormat="1" ht="36">
      <c r="A50" s="342"/>
      <c r="B50" s="331"/>
      <c r="C50" s="122">
        <v>7</v>
      </c>
      <c r="D50" s="132" t="s">
        <v>165</v>
      </c>
      <c r="E50" s="71"/>
      <c r="F50" s="71"/>
      <c r="G50" s="214" t="s">
        <v>269</v>
      </c>
      <c r="H50" s="187"/>
      <c r="I50" s="258" t="s">
        <v>270</v>
      </c>
      <c r="J50" s="214" t="s">
        <v>202</v>
      </c>
      <c r="K50" s="187"/>
      <c r="L50" s="214" t="s">
        <v>271</v>
      </c>
      <c r="M50" s="265"/>
      <c r="N50" s="71" t="s">
        <v>265</v>
      </c>
      <c r="O50" s="214" t="s">
        <v>272</v>
      </c>
      <c r="P50" s="214" t="s">
        <v>273</v>
      </c>
      <c r="Q50" s="71" t="s">
        <v>274</v>
      </c>
      <c r="R50" s="71"/>
      <c r="S50" s="299" t="s">
        <v>267</v>
      </c>
      <c r="T50" s="71" t="s">
        <v>275</v>
      </c>
      <c r="U50" s="71"/>
      <c r="V50" s="71"/>
      <c r="W50" s="71"/>
      <c r="X50" s="71"/>
      <c r="Y50" s="71"/>
      <c r="Z50" s="71"/>
      <c r="AA50" s="71"/>
      <c r="AB50" s="71"/>
      <c r="AC50" s="71"/>
      <c r="AD50" s="60"/>
      <c r="AE50" s="60"/>
      <c r="AF50" s="60"/>
      <c r="AG50" s="60"/>
      <c r="AH50" s="60"/>
      <c r="AI50" s="60"/>
    </row>
    <row r="51" spans="1:35" ht="36">
      <c r="A51" s="342"/>
      <c r="B51" s="331"/>
      <c r="C51" s="122">
        <v>8</v>
      </c>
      <c r="D51" s="132" t="s">
        <v>169</v>
      </c>
      <c r="E51" s="71"/>
      <c r="F51" s="71"/>
      <c r="G51" s="214" t="s">
        <v>269</v>
      </c>
      <c r="H51" s="187"/>
      <c r="I51" s="258" t="s">
        <v>270</v>
      </c>
      <c r="J51" s="71" t="s">
        <v>276</v>
      </c>
      <c r="K51" s="218"/>
      <c r="L51" s="214" t="s">
        <v>271</v>
      </c>
      <c r="M51" s="265"/>
      <c r="N51" s="71"/>
      <c r="O51" s="214" t="s">
        <v>272</v>
      </c>
      <c r="P51" s="214" t="s">
        <v>273</v>
      </c>
      <c r="Q51" s="71" t="s">
        <v>274</v>
      </c>
      <c r="R51" s="71"/>
      <c r="S51" s="299" t="s">
        <v>267</v>
      </c>
      <c r="T51" s="71" t="s">
        <v>275</v>
      </c>
      <c r="U51" s="71"/>
      <c r="V51" s="71"/>
      <c r="W51" s="71"/>
      <c r="X51" s="71"/>
      <c r="Y51" s="71"/>
      <c r="Z51" s="71"/>
      <c r="AA51" s="71"/>
      <c r="AB51" s="71"/>
      <c r="AC51" s="71"/>
      <c r="AD51" s="60"/>
      <c r="AE51" s="60"/>
      <c r="AF51" s="60"/>
      <c r="AG51" s="60"/>
      <c r="AH51" s="60"/>
      <c r="AI51" s="60"/>
    </row>
    <row r="52" spans="1:35" ht="36">
      <c r="A52" s="342"/>
      <c r="B52" s="331"/>
      <c r="C52" s="122">
        <v>9</v>
      </c>
      <c r="D52" s="132" t="s">
        <v>172</v>
      </c>
      <c r="E52" s="71"/>
      <c r="F52" s="71"/>
      <c r="G52" s="214" t="s">
        <v>269</v>
      </c>
      <c r="H52" s="187"/>
      <c r="I52" s="258" t="s">
        <v>270</v>
      </c>
      <c r="J52" s="71"/>
      <c r="K52" s="218"/>
      <c r="L52" s="214" t="s">
        <v>271</v>
      </c>
      <c r="M52" s="265"/>
      <c r="N52" s="220"/>
      <c r="O52" s="214" t="s">
        <v>272</v>
      </c>
      <c r="P52" s="214" t="s">
        <v>273</v>
      </c>
      <c r="Q52" s="71" t="s">
        <v>274</v>
      </c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60"/>
      <c r="AE52" s="60"/>
      <c r="AF52" s="60"/>
      <c r="AG52" s="60"/>
      <c r="AH52" s="60"/>
      <c r="AI52" s="60"/>
    </row>
    <row r="53" spans="1:35" ht="24">
      <c r="A53" s="342"/>
      <c r="B53" s="331"/>
      <c r="C53" s="122">
        <v>10</v>
      </c>
      <c r="D53" s="132" t="s">
        <v>174</v>
      </c>
      <c r="E53" s="71"/>
      <c r="F53" s="71"/>
      <c r="G53" s="71"/>
      <c r="H53" s="71"/>
      <c r="I53" s="253" t="s">
        <v>277</v>
      </c>
      <c r="J53" s="216"/>
      <c r="K53" s="187"/>
      <c r="L53" s="71"/>
      <c r="M53" s="257" t="s">
        <v>278</v>
      </c>
      <c r="N53" s="216"/>
      <c r="O53" s="216"/>
      <c r="P53" s="71"/>
      <c r="Q53" s="214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60"/>
      <c r="AE53" s="60"/>
      <c r="AF53" s="60"/>
      <c r="AG53" s="60"/>
      <c r="AH53" s="60"/>
      <c r="AI53" s="60"/>
    </row>
    <row r="54" spans="1:35" ht="24">
      <c r="A54" s="342"/>
      <c r="B54" s="331"/>
      <c r="C54" s="122">
        <v>11</v>
      </c>
      <c r="D54" s="132" t="s">
        <v>211</v>
      </c>
      <c r="E54" s="71"/>
      <c r="F54" s="71"/>
      <c r="G54" s="71"/>
      <c r="H54" s="71"/>
      <c r="I54" s="253" t="s">
        <v>277</v>
      </c>
      <c r="J54" s="71"/>
      <c r="K54" s="187"/>
      <c r="L54" s="71"/>
      <c r="M54" s="257" t="s">
        <v>278</v>
      </c>
      <c r="N54" s="71"/>
      <c r="O54" s="71"/>
      <c r="P54" s="71"/>
      <c r="Q54" s="214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60"/>
      <c r="AE54" s="60"/>
      <c r="AF54" s="60"/>
      <c r="AG54" s="60"/>
      <c r="AH54" s="60"/>
      <c r="AI54" s="60"/>
    </row>
    <row r="55" spans="1:35" ht="24">
      <c r="A55" s="342"/>
      <c r="B55" s="332"/>
      <c r="C55" s="122">
        <v>12</v>
      </c>
      <c r="D55" s="132" t="s">
        <v>178</v>
      </c>
      <c r="E55" s="71"/>
      <c r="F55" s="71"/>
      <c r="G55" s="71"/>
      <c r="H55" s="71"/>
      <c r="I55" s="253" t="s">
        <v>277</v>
      </c>
      <c r="J55" s="71"/>
      <c r="K55" s="187"/>
      <c r="L55" s="71"/>
      <c r="M55" s="257" t="s">
        <v>278</v>
      </c>
      <c r="N55" s="221"/>
      <c r="O55" s="71"/>
      <c r="P55" s="221"/>
      <c r="Q55" s="223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60"/>
      <c r="AE55" s="60"/>
      <c r="AF55" s="60"/>
      <c r="AG55" s="60"/>
      <c r="AH55" s="60"/>
      <c r="AI55" s="60"/>
    </row>
    <row r="56" spans="1:35" s="28" customFormat="1" ht="24">
      <c r="A56" s="342"/>
      <c r="B56" s="327" t="s">
        <v>279</v>
      </c>
      <c r="C56" s="120">
        <v>1</v>
      </c>
      <c r="D56" s="121" t="s">
        <v>138</v>
      </c>
      <c r="E56" s="203"/>
      <c r="F56" s="203"/>
      <c r="G56" s="207" t="s">
        <v>280</v>
      </c>
      <c r="H56" s="207" t="s">
        <v>281</v>
      </c>
      <c r="I56" s="207" t="s">
        <v>282</v>
      </c>
      <c r="J56" s="207" t="s">
        <v>283</v>
      </c>
      <c r="K56" s="307" t="s">
        <v>284</v>
      </c>
      <c r="L56" s="207" t="s">
        <v>285</v>
      </c>
      <c r="M56" s="243" t="s">
        <v>286</v>
      </c>
      <c r="N56" s="189" t="s">
        <v>287</v>
      </c>
      <c r="O56" s="189" t="s">
        <v>288</v>
      </c>
      <c r="P56" s="189" t="s">
        <v>289</v>
      </c>
      <c r="Q56" s="297"/>
      <c r="R56" s="207"/>
      <c r="S56" s="297" t="s">
        <v>290</v>
      </c>
      <c r="T56" s="203" t="s">
        <v>291</v>
      </c>
      <c r="U56" s="203"/>
      <c r="V56" s="203"/>
      <c r="W56" s="203"/>
      <c r="X56" s="203"/>
      <c r="Y56" s="203"/>
      <c r="Z56" s="53"/>
      <c r="AA56" s="53"/>
      <c r="AB56" s="53"/>
      <c r="AC56" s="53"/>
      <c r="AD56" s="53"/>
      <c r="AE56" s="53"/>
      <c r="AF56" s="53"/>
      <c r="AG56" s="53"/>
      <c r="AH56" s="53"/>
      <c r="AI56" s="53"/>
    </row>
    <row r="57" spans="1:35" s="28" customFormat="1" ht="24">
      <c r="A57" s="342"/>
      <c r="B57" s="328"/>
      <c r="C57" s="120">
        <v>2</v>
      </c>
      <c r="D57" s="121" t="s">
        <v>146</v>
      </c>
      <c r="E57" s="203"/>
      <c r="F57" s="203"/>
      <c r="G57" s="207" t="s">
        <v>280</v>
      </c>
      <c r="H57" s="207" t="s">
        <v>281</v>
      </c>
      <c r="I57" s="207" t="s">
        <v>282</v>
      </c>
      <c r="J57" s="207" t="s">
        <v>283</v>
      </c>
      <c r="K57" s="307" t="s">
        <v>284</v>
      </c>
      <c r="L57" s="207" t="s">
        <v>285</v>
      </c>
      <c r="M57" s="243" t="s">
        <v>286</v>
      </c>
      <c r="N57" s="189" t="s">
        <v>287</v>
      </c>
      <c r="O57" s="189" t="s">
        <v>288</v>
      </c>
      <c r="P57" s="189" t="s">
        <v>289</v>
      </c>
      <c r="Q57" s="297"/>
      <c r="R57" s="207"/>
      <c r="S57" s="297" t="s">
        <v>290</v>
      </c>
      <c r="T57" s="203" t="s">
        <v>291</v>
      </c>
      <c r="U57" s="203"/>
      <c r="V57" s="203"/>
      <c r="W57" s="203"/>
      <c r="X57" s="203"/>
      <c r="Y57" s="203"/>
      <c r="Z57" s="53"/>
      <c r="AA57" s="53"/>
      <c r="AB57" s="53"/>
      <c r="AC57" s="53"/>
      <c r="AD57" s="53"/>
      <c r="AE57" s="53"/>
      <c r="AF57" s="53"/>
      <c r="AG57" s="53"/>
      <c r="AH57" s="53"/>
      <c r="AI57" s="53"/>
    </row>
    <row r="58" spans="1:35" s="28" customFormat="1" ht="24">
      <c r="A58" s="342"/>
      <c r="B58" s="328"/>
      <c r="C58" s="120">
        <v>3</v>
      </c>
      <c r="D58" s="121" t="s">
        <v>149</v>
      </c>
      <c r="E58" s="203"/>
      <c r="F58" s="203"/>
      <c r="G58" s="207" t="s">
        <v>280</v>
      </c>
      <c r="H58" s="207" t="s">
        <v>281</v>
      </c>
      <c r="I58" s="207" t="s">
        <v>282</v>
      </c>
      <c r="J58" s="207" t="s">
        <v>283</v>
      </c>
      <c r="K58" s="307" t="s">
        <v>284</v>
      </c>
      <c r="L58" s="207" t="s">
        <v>285</v>
      </c>
      <c r="M58" s="243" t="s">
        <v>286</v>
      </c>
      <c r="N58" s="189" t="s">
        <v>287</v>
      </c>
      <c r="O58" s="189" t="s">
        <v>288</v>
      </c>
      <c r="P58" s="189" t="s">
        <v>289</v>
      </c>
      <c r="Q58" s="297"/>
      <c r="R58" s="207"/>
      <c r="S58" s="297" t="s">
        <v>290</v>
      </c>
      <c r="T58" s="203"/>
      <c r="U58" s="203"/>
      <c r="V58" s="203"/>
      <c r="W58" s="203"/>
      <c r="X58" s="203"/>
      <c r="Y58" s="203"/>
      <c r="Z58" s="53"/>
      <c r="AA58" s="53"/>
      <c r="AB58" s="53"/>
      <c r="AC58" s="53"/>
      <c r="AD58" s="53"/>
      <c r="AE58" s="53"/>
      <c r="AF58" s="53"/>
      <c r="AG58" s="53"/>
      <c r="AH58" s="53"/>
      <c r="AI58" s="53"/>
    </row>
    <row r="59" spans="1:35" s="28" customFormat="1">
      <c r="A59" s="342"/>
      <c r="B59" s="328"/>
      <c r="C59" s="120">
        <v>4</v>
      </c>
      <c r="D59" s="121" t="s">
        <v>152</v>
      </c>
      <c r="E59" s="203"/>
      <c r="F59" s="203"/>
      <c r="G59" s="203"/>
      <c r="H59" s="203"/>
      <c r="I59" s="203"/>
      <c r="J59" s="203"/>
      <c r="K59" s="203"/>
      <c r="L59" s="203" t="s">
        <v>292</v>
      </c>
      <c r="M59" s="207"/>
      <c r="N59" s="189" t="s">
        <v>287</v>
      </c>
      <c r="O59" s="203"/>
      <c r="P59" s="246"/>
      <c r="Q59" s="297"/>
      <c r="R59" s="248"/>
      <c r="S59" s="297" t="s">
        <v>290</v>
      </c>
      <c r="T59" s="203"/>
      <c r="U59" s="203"/>
      <c r="V59" s="203"/>
      <c r="W59" s="203"/>
      <c r="X59" s="203"/>
      <c r="Y59" s="203"/>
      <c r="Z59" s="53"/>
      <c r="AA59" s="53"/>
      <c r="AB59" s="53"/>
      <c r="AC59" s="53"/>
      <c r="AD59" s="53"/>
      <c r="AE59" s="53"/>
      <c r="AF59" s="53"/>
      <c r="AG59" s="53"/>
      <c r="AH59" s="53"/>
      <c r="AI59" s="53"/>
    </row>
    <row r="60" spans="1:35" s="28" customFormat="1">
      <c r="A60" s="342"/>
      <c r="B60" s="328"/>
      <c r="C60" s="120">
        <v>5</v>
      </c>
      <c r="D60" s="121" t="s">
        <v>162</v>
      </c>
      <c r="E60" s="203"/>
      <c r="F60" s="203"/>
      <c r="G60" s="203"/>
      <c r="H60" s="203"/>
      <c r="I60" s="203"/>
      <c r="J60" s="203"/>
      <c r="K60" s="203"/>
      <c r="L60" s="203" t="s">
        <v>292</v>
      </c>
      <c r="M60" s="207"/>
      <c r="N60" s="189" t="s">
        <v>293</v>
      </c>
      <c r="O60" s="203"/>
      <c r="P60" s="246"/>
      <c r="Q60" s="247"/>
      <c r="R60" s="248"/>
      <c r="S60" s="203"/>
      <c r="T60" s="203"/>
      <c r="U60" s="203"/>
      <c r="V60" s="203"/>
      <c r="W60" s="203"/>
      <c r="X60" s="203"/>
      <c r="Y60" s="203"/>
      <c r="Z60" s="53"/>
      <c r="AA60" s="53"/>
      <c r="AB60" s="53"/>
      <c r="AC60" s="53"/>
      <c r="AD60" s="53"/>
      <c r="AE60" s="53"/>
      <c r="AF60" s="53"/>
      <c r="AG60" s="53"/>
      <c r="AH60" s="53"/>
      <c r="AI60" s="53"/>
    </row>
    <row r="61" spans="1:35" s="28" customFormat="1" ht="24">
      <c r="A61" s="342"/>
      <c r="B61" s="328"/>
      <c r="C61" s="120">
        <v>6</v>
      </c>
      <c r="D61" s="121" t="s">
        <v>164</v>
      </c>
      <c r="E61" s="203"/>
      <c r="F61" s="203"/>
      <c r="G61" s="207"/>
      <c r="H61" s="203"/>
      <c r="I61" s="288" t="s">
        <v>206</v>
      </c>
      <c r="J61" s="203"/>
      <c r="K61" s="203"/>
      <c r="L61" s="203"/>
      <c r="M61" s="207" t="s">
        <v>294</v>
      </c>
      <c r="N61" s="189" t="s">
        <v>293</v>
      </c>
      <c r="O61" s="203"/>
      <c r="P61" s="246"/>
      <c r="Q61" s="247"/>
      <c r="R61" s="202"/>
      <c r="S61" s="249"/>
      <c r="T61" s="203"/>
      <c r="U61" s="203"/>
      <c r="V61" s="203"/>
      <c r="W61" s="203"/>
      <c r="X61" s="203"/>
      <c r="Y61" s="203"/>
      <c r="Z61" s="53"/>
      <c r="AA61" s="53"/>
      <c r="AB61" s="53"/>
      <c r="AC61" s="53"/>
      <c r="AD61" s="53"/>
      <c r="AE61" s="53"/>
      <c r="AF61" s="53"/>
      <c r="AG61" s="53"/>
      <c r="AH61" s="53"/>
      <c r="AI61" s="53"/>
    </row>
    <row r="62" spans="1:35" s="28" customFormat="1" ht="24">
      <c r="A62" s="342"/>
      <c r="B62" s="328"/>
      <c r="C62" s="120">
        <v>7</v>
      </c>
      <c r="D62" s="121" t="s">
        <v>165</v>
      </c>
      <c r="E62" s="203"/>
      <c r="F62" s="203"/>
      <c r="G62" s="207" t="s">
        <v>295</v>
      </c>
      <c r="H62" s="203"/>
      <c r="I62" s="288" t="s">
        <v>206</v>
      </c>
      <c r="J62" s="207" t="s">
        <v>296</v>
      </c>
      <c r="K62" s="203"/>
      <c r="L62" s="207"/>
      <c r="M62" s="207" t="s">
        <v>294</v>
      </c>
      <c r="N62" s="189" t="s">
        <v>293</v>
      </c>
      <c r="O62" s="201" t="s">
        <v>297</v>
      </c>
      <c r="P62" s="207" t="s">
        <v>298</v>
      </c>
      <c r="Q62" s="247"/>
      <c r="R62" s="202"/>
      <c r="S62" s="249"/>
      <c r="T62" s="203" t="s">
        <v>299</v>
      </c>
      <c r="U62" s="203"/>
      <c r="V62" s="203"/>
      <c r="W62" s="203"/>
      <c r="X62" s="203"/>
      <c r="Y62" s="203"/>
      <c r="Z62" s="53"/>
      <c r="AA62" s="53"/>
      <c r="AB62" s="53"/>
      <c r="AC62" s="53"/>
      <c r="AD62" s="53"/>
      <c r="AE62" s="53"/>
      <c r="AF62" s="53"/>
      <c r="AG62" s="53"/>
      <c r="AH62" s="53"/>
      <c r="AI62" s="53"/>
    </row>
    <row r="63" spans="1:35" s="28" customFormat="1" ht="24">
      <c r="A63" s="342"/>
      <c r="B63" s="328"/>
      <c r="C63" s="120">
        <v>8</v>
      </c>
      <c r="D63" s="121" t="s">
        <v>169</v>
      </c>
      <c r="E63" s="203"/>
      <c r="F63" s="203"/>
      <c r="G63" s="207" t="s">
        <v>295</v>
      </c>
      <c r="H63" s="203"/>
      <c r="I63" s="288" t="s">
        <v>206</v>
      </c>
      <c r="J63" s="207" t="s">
        <v>296</v>
      </c>
      <c r="K63" s="203"/>
      <c r="L63" s="207"/>
      <c r="M63" s="207" t="s">
        <v>294</v>
      </c>
      <c r="N63" s="189"/>
      <c r="O63" s="201" t="s">
        <v>297</v>
      </c>
      <c r="P63" s="207" t="s">
        <v>298</v>
      </c>
      <c r="Q63" s="247"/>
      <c r="R63" s="202"/>
      <c r="S63" s="249"/>
      <c r="T63" s="203" t="s">
        <v>299</v>
      </c>
      <c r="U63" s="203"/>
      <c r="V63" s="203"/>
      <c r="W63" s="203"/>
      <c r="X63" s="203"/>
      <c r="Y63" s="203"/>
      <c r="Z63" s="53"/>
      <c r="AA63" s="53"/>
      <c r="AB63" s="53"/>
      <c r="AC63" s="53"/>
      <c r="AD63" s="53"/>
      <c r="AE63" s="53"/>
      <c r="AF63" s="53"/>
      <c r="AG63" s="53"/>
      <c r="AH63" s="53"/>
      <c r="AI63" s="53"/>
    </row>
    <row r="64" spans="1:35" s="28" customFormat="1" ht="24">
      <c r="A64" s="343"/>
      <c r="B64" s="328"/>
      <c r="C64" s="120">
        <v>9</v>
      </c>
      <c r="D64" s="121" t="s">
        <v>172</v>
      </c>
      <c r="E64" s="203"/>
      <c r="F64" s="203"/>
      <c r="G64" s="207" t="s">
        <v>295</v>
      </c>
      <c r="H64" s="203"/>
      <c r="I64" s="203"/>
      <c r="J64" s="207" t="s">
        <v>296</v>
      </c>
      <c r="K64" s="203"/>
      <c r="L64" s="207"/>
      <c r="M64" s="207"/>
      <c r="N64" s="189"/>
      <c r="O64" s="201" t="s">
        <v>297</v>
      </c>
      <c r="P64" s="207" t="s">
        <v>298</v>
      </c>
      <c r="Q64" s="250"/>
      <c r="R64" s="70"/>
      <c r="S64" s="203"/>
      <c r="T64" s="203" t="s">
        <v>299</v>
      </c>
      <c r="U64" s="203"/>
      <c r="V64" s="203"/>
      <c r="W64" s="203"/>
      <c r="X64" s="203"/>
      <c r="Y64" s="203"/>
      <c r="Z64" s="53"/>
      <c r="AA64" s="53"/>
      <c r="AB64" s="53"/>
      <c r="AC64" s="53"/>
      <c r="AD64" s="53"/>
      <c r="AE64" s="53"/>
      <c r="AF64" s="53"/>
      <c r="AG64" s="53"/>
      <c r="AH64" s="53"/>
      <c r="AI64" s="53"/>
    </row>
    <row r="65" spans="1:35" s="28" customFormat="1" ht="24">
      <c r="A65" s="2"/>
      <c r="B65" s="328"/>
      <c r="C65" s="120">
        <v>10</v>
      </c>
      <c r="D65" s="121" t="s">
        <v>174</v>
      </c>
      <c r="E65" s="203"/>
      <c r="F65" s="203"/>
      <c r="G65" s="203"/>
      <c r="H65" s="203"/>
      <c r="I65" s="207" t="s">
        <v>300</v>
      </c>
      <c r="J65" s="203"/>
      <c r="K65" s="203"/>
      <c r="M65" s="207" t="s">
        <v>301</v>
      </c>
      <c r="N65" s="189"/>
      <c r="O65" s="207"/>
      <c r="P65" s="235"/>
      <c r="Q65" s="250"/>
      <c r="R65" s="70"/>
      <c r="S65" s="203"/>
      <c r="T65" s="203"/>
      <c r="U65" s="203"/>
      <c r="V65" s="203"/>
      <c r="W65" s="203"/>
      <c r="X65" s="203"/>
      <c r="Y65" s="203"/>
      <c r="Z65" s="53"/>
      <c r="AA65" s="53"/>
      <c r="AB65" s="53"/>
      <c r="AC65" s="53"/>
      <c r="AD65" s="53"/>
      <c r="AE65" s="53"/>
      <c r="AF65" s="53"/>
      <c r="AG65" s="53"/>
      <c r="AH65" s="53"/>
      <c r="AI65" s="53"/>
    </row>
    <row r="66" spans="1:35" s="28" customFormat="1" ht="24">
      <c r="A66" s="2"/>
      <c r="B66" s="328"/>
      <c r="C66" s="120">
        <v>11</v>
      </c>
      <c r="D66" s="121" t="s">
        <v>177</v>
      </c>
      <c r="E66" s="203"/>
      <c r="F66" s="203"/>
      <c r="G66" s="203"/>
      <c r="H66" s="203"/>
      <c r="I66" s="207" t="s">
        <v>300</v>
      </c>
      <c r="J66" s="203"/>
      <c r="K66" s="203"/>
      <c r="M66" s="207" t="s">
        <v>301</v>
      </c>
      <c r="N66" s="189"/>
      <c r="O66" s="207"/>
      <c r="P66" s="235"/>
      <c r="Q66" s="250"/>
      <c r="R66" s="70"/>
      <c r="S66" s="203"/>
      <c r="T66" s="203"/>
      <c r="U66" s="203"/>
      <c r="V66" s="203"/>
      <c r="W66" s="203"/>
      <c r="X66" s="203"/>
      <c r="Y66" s="203"/>
      <c r="Z66" s="53"/>
      <c r="AA66" s="53"/>
      <c r="AB66" s="53"/>
      <c r="AC66" s="53"/>
      <c r="AD66" s="53"/>
      <c r="AE66" s="53"/>
      <c r="AF66" s="53"/>
      <c r="AG66" s="53"/>
      <c r="AH66" s="53"/>
      <c r="AI66" s="53"/>
    </row>
    <row r="67" spans="1:35" s="28" customFormat="1" ht="24">
      <c r="A67" s="2"/>
      <c r="B67" s="329"/>
      <c r="C67" s="120">
        <v>12</v>
      </c>
      <c r="D67" s="121" t="s">
        <v>178</v>
      </c>
      <c r="E67" s="203"/>
      <c r="F67" s="203"/>
      <c r="G67" s="203"/>
      <c r="H67" s="203"/>
      <c r="I67" s="207" t="s">
        <v>300</v>
      </c>
      <c r="J67" s="203"/>
      <c r="K67" s="203"/>
      <c r="M67" s="207" t="s">
        <v>301</v>
      </c>
      <c r="N67" s="203"/>
      <c r="O67" s="207"/>
      <c r="P67" s="235"/>
      <c r="Q67" s="250"/>
      <c r="R67" s="70"/>
      <c r="S67" s="203"/>
      <c r="T67" s="203"/>
      <c r="U67" s="203"/>
      <c r="V67" s="203"/>
      <c r="W67" s="203"/>
      <c r="X67" s="203"/>
      <c r="Y67" s="203"/>
      <c r="Z67" s="53"/>
      <c r="AA67" s="53"/>
      <c r="AB67" s="53"/>
      <c r="AC67" s="53"/>
      <c r="AD67" s="53"/>
      <c r="AE67" s="53"/>
      <c r="AF67" s="53"/>
      <c r="AG67" s="53"/>
      <c r="AH67" s="53"/>
      <c r="AI67" s="53"/>
    </row>
    <row r="68" spans="1:35">
      <c r="A68" s="2"/>
      <c r="B68" s="330" t="s">
        <v>302</v>
      </c>
      <c r="C68" s="122">
        <v>1</v>
      </c>
      <c r="D68" s="132" t="s">
        <v>138</v>
      </c>
      <c r="E68" s="71"/>
      <c r="F68" s="71"/>
      <c r="G68" s="71"/>
      <c r="H68" s="71"/>
      <c r="I68" s="71"/>
      <c r="J68" s="251"/>
      <c r="K68" s="251"/>
      <c r="L68" s="71"/>
      <c r="M68" s="71"/>
      <c r="N68" s="71"/>
      <c r="O68" s="71"/>
      <c r="P68" s="251"/>
      <c r="Q68" s="214"/>
      <c r="R68" s="71"/>
      <c r="S68" s="71"/>
      <c r="T68" s="71"/>
      <c r="U68" s="71"/>
      <c r="V68" s="71" t="s">
        <v>303</v>
      </c>
      <c r="W68" s="71"/>
      <c r="X68" s="71"/>
      <c r="Y68" s="71"/>
      <c r="Z68" s="60"/>
      <c r="AA68" s="60"/>
      <c r="AB68" s="60"/>
      <c r="AC68" s="60"/>
      <c r="AD68" s="60"/>
      <c r="AE68" s="60"/>
      <c r="AF68" s="60"/>
      <c r="AG68" s="60"/>
      <c r="AH68" s="60"/>
      <c r="AI68" s="60"/>
    </row>
    <row r="69" spans="1:35">
      <c r="A69" s="2"/>
      <c r="B69" s="331"/>
      <c r="C69" s="122">
        <v>2</v>
      </c>
      <c r="D69" s="132" t="s">
        <v>146</v>
      </c>
      <c r="E69" s="71"/>
      <c r="F69" s="71"/>
      <c r="G69" s="71"/>
      <c r="H69" s="71"/>
      <c r="I69" s="71"/>
      <c r="J69" s="251"/>
      <c r="K69" s="251"/>
      <c r="L69" s="71"/>
      <c r="M69" s="71"/>
      <c r="N69" s="71"/>
      <c r="O69" s="71"/>
      <c r="P69" s="251"/>
      <c r="Q69" s="214"/>
      <c r="R69" s="71"/>
      <c r="S69" s="71"/>
      <c r="T69" s="71"/>
      <c r="U69" s="71"/>
      <c r="V69" s="71" t="s">
        <v>304</v>
      </c>
      <c r="W69" s="71"/>
      <c r="X69" s="71"/>
      <c r="Y69" s="71"/>
      <c r="Z69" s="60"/>
      <c r="AA69" s="60"/>
      <c r="AB69" s="60"/>
      <c r="AC69" s="60"/>
      <c r="AD69" s="60"/>
      <c r="AE69" s="60"/>
      <c r="AF69" s="60"/>
      <c r="AG69" s="60"/>
      <c r="AH69" s="60"/>
      <c r="AI69" s="60"/>
    </row>
    <row r="70" spans="1:35">
      <c r="A70" s="2"/>
      <c r="B70" s="331"/>
      <c r="C70" s="122">
        <v>3</v>
      </c>
      <c r="D70" s="132" t="s">
        <v>149</v>
      </c>
      <c r="E70" s="71"/>
      <c r="F70" s="71"/>
      <c r="G70" s="71"/>
      <c r="H70" s="71"/>
      <c r="I70" s="71"/>
      <c r="J70" s="251"/>
      <c r="K70" s="251"/>
      <c r="L70" s="71"/>
      <c r="M70" s="71"/>
      <c r="N70" s="71"/>
      <c r="O70" s="71"/>
      <c r="P70" s="251"/>
      <c r="Q70" s="214"/>
      <c r="R70" s="71"/>
      <c r="S70" s="71"/>
      <c r="T70" s="71"/>
      <c r="U70" s="71"/>
      <c r="V70" s="71" t="s">
        <v>305</v>
      </c>
      <c r="W70" s="71"/>
      <c r="X70" s="71"/>
      <c r="Y70" s="71"/>
      <c r="Z70" s="60"/>
      <c r="AA70" s="60"/>
      <c r="AB70" s="60"/>
      <c r="AC70" s="60"/>
      <c r="AD70" s="60"/>
      <c r="AE70" s="60"/>
      <c r="AF70" s="60"/>
      <c r="AG70" s="60"/>
      <c r="AH70" s="60"/>
      <c r="AI70" s="60"/>
    </row>
    <row r="71" spans="1:35">
      <c r="A71" s="2"/>
      <c r="B71" s="331"/>
      <c r="C71" s="122">
        <v>4</v>
      </c>
      <c r="D71" s="132" t="s">
        <v>152</v>
      </c>
      <c r="E71" s="71"/>
      <c r="F71" s="71"/>
      <c r="G71" s="71"/>
      <c r="H71" s="71"/>
      <c r="I71" s="71"/>
      <c r="J71" s="251"/>
      <c r="K71" s="251"/>
      <c r="L71" s="71"/>
      <c r="M71" s="71"/>
      <c r="N71" s="71"/>
      <c r="O71" s="71"/>
      <c r="P71" s="71"/>
      <c r="Q71" s="214"/>
      <c r="R71" s="71"/>
      <c r="S71" s="71"/>
      <c r="T71" s="71"/>
      <c r="U71" s="71"/>
      <c r="V71" s="71" t="s">
        <v>305</v>
      </c>
      <c r="W71" s="71"/>
      <c r="X71" s="71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</row>
    <row r="72" spans="1:35">
      <c r="A72" s="2"/>
      <c r="B72" s="331"/>
      <c r="C72" s="122">
        <v>5</v>
      </c>
      <c r="D72" s="132" t="s">
        <v>162</v>
      </c>
      <c r="E72" s="71"/>
      <c r="F72" s="71"/>
      <c r="G72" s="71"/>
      <c r="H72" s="71"/>
      <c r="I72" s="71"/>
      <c r="J72" s="251"/>
      <c r="K72" s="251"/>
      <c r="L72" s="71"/>
      <c r="M72" s="71"/>
      <c r="N72" s="71"/>
      <c r="O72" s="71"/>
      <c r="P72" s="71"/>
      <c r="Q72" s="214"/>
      <c r="R72" s="71"/>
      <c r="S72" s="71"/>
      <c r="T72" s="71"/>
      <c r="U72" s="71"/>
      <c r="V72" s="71"/>
      <c r="W72" s="251"/>
      <c r="X72" s="251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</row>
    <row r="73" spans="1:35">
      <c r="A73" s="2"/>
      <c r="B73" s="331"/>
      <c r="C73" s="122">
        <v>6</v>
      </c>
      <c r="D73" s="132" t="s">
        <v>164</v>
      </c>
      <c r="E73" s="71"/>
      <c r="F73" s="71"/>
      <c r="G73" s="71"/>
      <c r="H73" s="71"/>
      <c r="I73" s="71"/>
      <c r="J73" s="251"/>
      <c r="K73" s="251"/>
      <c r="L73" s="71"/>
      <c r="M73" s="71"/>
      <c r="N73" s="71"/>
      <c r="O73" s="71"/>
      <c r="P73" s="71"/>
      <c r="Q73" s="214"/>
      <c r="R73" s="71"/>
      <c r="S73" s="71"/>
      <c r="T73" s="71"/>
      <c r="U73" s="71"/>
      <c r="V73" s="71"/>
      <c r="W73" s="251"/>
      <c r="X73" s="251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</row>
    <row r="74" spans="1:35">
      <c r="A74" s="2"/>
      <c r="B74" s="331"/>
      <c r="C74" s="122">
        <v>7</v>
      </c>
      <c r="D74" s="132" t="s">
        <v>165</v>
      </c>
      <c r="E74" s="71"/>
      <c r="F74" s="71"/>
      <c r="G74" s="71"/>
      <c r="H74" s="71"/>
      <c r="I74" s="71"/>
      <c r="J74" s="251"/>
      <c r="K74" s="251"/>
      <c r="L74" s="71"/>
      <c r="M74" s="71"/>
      <c r="N74" s="71"/>
      <c r="O74" s="71"/>
      <c r="P74" s="71"/>
      <c r="Q74" s="214"/>
      <c r="R74" s="71"/>
      <c r="S74" s="71"/>
      <c r="T74" s="71"/>
      <c r="U74" s="71"/>
      <c r="V74" s="71"/>
      <c r="W74" s="251"/>
      <c r="X74" s="251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</row>
    <row r="75" spans="1:35">
      <c r="A75" s="2"/>
      <c r="B75" s="331"/>
      <c r="C75" s="122">
        <v>8</v>
      </c>
      <c r="D75" s="132" t="s">
        <v>169</v>
      </c>
      <c r="E75" s="71"/>
      <c r="F75" s="71"/>
      <c r="G75" s="71"/>
      <c r="H75" s="71"/>
      <c r="I75" s="71"/>
      <c r="J75" s="251"/>
      <c r="K75" s="251"/>
      <c r="L75" s="71"/>
      <c r="M75" s="71"/>
      <c r="N75" s="71"/>
      <c r="O75" s="71"/>
      <c r="P75" s="71"/>
      <c r="Q75" s="214"/>
      <c r="R75" s="71"/>
      <c r="S75" s="71"/>
      <c r="T75" s="71"/>
      <c r="U75" s="71"/>
      <c r="V75" s="71"/>
      <c r="W75" s="251"/>
      <c r="X75" s="251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</row>
    <row r="76" spans="1:35">
      <c r="A76" s="2"/>
      <c r="B76" s="331"/>
      <c r="C76" s="122">
        <v>9</v>
      </c>
      <c r="D76" s="132" t="s">
        <v>172</v>
      </c>
      <c r="E76" s="71"/>
      <c r="F76" s="71"/>
      <c r="G76" s="71"/>
      <c r="H76" s="71"/>
      <c r="I76" s="71"/>
      <c r="J76" s="251"/>
      <c r="K76" s="251"/>
      <c r="L76" s="71"/>
      <c r="M76" s="71"/>
      <c r="N76" s="71"/>
      <c r="O76" s="71"/>
      <c r="P76" s="71"/>
      <c r="Q76" s="214"/>
      <c r="R76" s="71"/>
      <c r="S76" s="71"/>
      <c r="T76" s="71"/>
      <c r="U76" s="71"/>
      <c r="V76" s="251"/>
      <c r="W76" s="251"/>
      <c r="X76" s="251"/>
      <c r="Y76" s="251"/>
      <c r="Z76" s="60"/>
      <c r="AA76" s="60"/>
      <c r="AB76" s="60"/>
      <c r="AC76" s="60"/>
      <c r="AD76" s="60"/>
      <c r="AE76" s="60"/>
      <c r="AF76" s="60"/>
      <c r="AG76" s="60"/>
      <c r="AH76" s="60"/>
      <c r="AI76" s="60"/>
    </row>
    <row r="77" spans="1:35">
      <c r="A77" s="2"/>
      <c r="B77" s="331"/>
      <c r="C77" s="122">
        <v>10</v>
      </c>
      <c r="D77" s="132" t="s">
        <v>174</v>
      </c>
      <c r="E77" s="71"/>
      <c r="F77" s="71"/>
      <c r="G77" s="71"/>
      <c r="H77" s="71"/>
      <c r="I77" s="71"/>
      <c r="J77" s="251"/>
      <c r="K77" s="251"/>
      <c r="L77" s="71"/>
      <c r="M77" s="71"/>
      <c r="N77" s="71"/>
      <c r="O77" s="71"/>
      <c r="P77" s="71"/>
      <c r="Q77" s="214"/>
      <c r="R77" s="71"/>
      <c r="S77" s="71"/>
      <c r="T77" s="71"/>
      <c r="U77" s="71"/>
      <c r="V77" s="71"/>
      <c r="W77" s="251"/>
      <c r="X77" s="251"/>
      <c r="Y77" s="251"/>
      <c r="Z77" s="60"/>
      <c r="AA77" s="60"/>
      <c r="AB77" s="60"/>
      <c r="AC77" s="60"/>
      <c r="AD77" s="60"/>
      <c r="AE77" s="60"/>
      <c r="AF77" s="60"/>
      <c r="AG77" s="60"/>
      <c r="AH77" s="60"/>
      <c r="AI77" s="60"/>
    </row>
    <row r="78" spans="1:35">
      <c r="A78" s="2"/>
      <c r="B78" s="331"/>
      <c r="C78" s="122">
        <v>11</v>
      </c>
      <c r="D78" s="132" t="s">
        <v>211</v>
      </c>
      <c r="E78" s="71"/>
      <c r="F78" s="71"/>
      <c r="G78" s="71"/>
      <c r="H78" s="71"/>
      <c r="I78" s="71"/>
      <c r="J78" s="251"/>
      <c r="K78" s="251"/>
      <c r="L78" s="71"/>
      <c r="M78" s="71"/>
      <c r="N78" s="71"/>
      <c r="O78" s="71"/>
      <c r="P78" s="71"/>
      <c r="Q78" s="214"/>
      <c r="R78" s="71"/>
      <c r="S78" s="71"/>
      <c r="T78" s="71"/>
      <c r="U78" s="71"/>
      <c r="V78" s="71"/>
      <c r="W78" s="251"/>
      <c r="X78" s="251"/>
      <c r="Y78" s="251"/>
      <c r="Z78" s="60"/>
      <c r="AA78" s="60"/>
      <c r="AB78" s="60"/>
      <c r="AC78" s="60"/>
      <c r="AD78" s="60"/>
      <c r="AE78" s="60"/>
      <c r="AF78" s="60"/>
      <c r="AG78" s="60"/>
      <c r="AH78" s="60"/>
      <c r="AI78" s="60"/>
    </row>
    <row r="79" spans="1:35">
      <c r="A79" s="2"/>
      <c r="B79" s="332"/>
      <c r="C79" s="122">
        <v>12</v>
      </c>
      <c r="D79" s="132" t="s">
        <v>178</v>
      </c>
      <c r="E79" s="71"/>
      <c r="F79" s="71"/>
      <c r="G79" s="71"/>
      <c r="H79" s="71"/>
      <c r="I79" s="71"/>
      <c r="J79" s="251"/>
      <c r="K79" s="251"/>
      <c r="L79" s="71"/>
      <c r="M79" s="71"/>
      <c r="N79" s="71"/>
      <c r="O79" s="71"/>
      <c r="P79" s="71"/>
      <c r="Q79" s="214"/>
      <c r="R79" s="71"/>
      <c r="S79" s="71"/>
      <c r="T79" s="71"/>
      <c r="U79" s="71"/>
      <c r="V79" s="71"/>
      <c r="W79" s="251"/>
      <c r="X79" s="251"/>
      <c r="Y79" s="251"/>
      <c r="Z79" s="60"/>
      <c r="AA79" s="60"/>
      <c r="AB79" s="60"/>
      <c r="AC79" s="60"/>
      <c r="AD79" s="60"/>
      <c r="AE79" s="60"/>
      <c r="AF79" s="60"/>
      <c r="AG79" s="60"/>
      <c r="AH79" s="60"/>
      <c r="AI79" s="60"/>
    </row>
    <row r="80" spans="1:35">
      <c r="B80" s="326" t="s">
        <v>306</v>
      </c>
      <c r="C80" s="326"/>
      <c r="D80" s="326"/>
      <c r="E80" s="113">
        <f>COUNTA(E8:E64)/45</f>
        <v>0</v>
      </c>
      <c r="F80" s="113">
        <f t="shared" ref="F80:Y80" si="0">COUNTA(F8:F64)/45</f>
        <v>0</v>
      </c>
      <c r="G80" s="113">
        <f t="shared" si="0"/>
        <v>0.73333333333333328</v>
      </c>
      <c r="H80" s="113">
        <f t="shared" si="0"/>
        <v>0.64444444444444449</v>
      </c>
      <c r="I80" s="113">
        <f t="shared" si="0"/>
        <v>0.93333333333333335</v>
      </c>
      <c r="J80" s="113">
        <f t="shared" si="0"/>
        <v>0.68888888888888888</v>
      </c>
      <c r="K80" s="113">
        <f t="shared" si="0"/>
        <v>0.68888888888888888</v>
      </c>
      <c r="L80" s="113">
        <f>COUNTA(L8:L64)/45</f>
        <v>0.64444444444444449</v>
      </c>
      <c r="M80" s="113">
        <f>COUNTA(M8:M64)/45</f>
        <v>0.8</v>
      </c>
      <c r="N80" s="113">
        <f t="shared" si="0"/>
        <v>0.77777777777777779</v>
      </c>
      <c r="O80" s="113">
        <f>COUNTA(O8:O64)/45</f>
        <v>0.8</v>
      </c>
      <c r="P80" s="113">
        <f>COUNTA(P8:P64)/45</f>
        <v>0.57777777777777772</v>
      </c>
      <c r="Q80" s="167">
        <f t="shared" si="0"/>
        <v>0.28888888888888886</v>
      </c>
      <c r="R80" s="113">
        <f t="shared" si="0"/>
        <v>0.4</v>
      </c>
      <c r="S80" s="113">
        <f t="shared" si="0"/>
        <v>0.53333333333333333</v>
      </c>
      <c r="T80" s="113">
        <f t="shared" si="0"/>
        <v>0.71111111111111114</v>
      </c>
      <c r="U80" s="113">
        <f t="shared" si="0"/>
        <v>4.4444444444444446E-2</v>
      </c>
      <c r="V80" s="113">
        <f t="shared" si="0"/>
        <v>0</v>
      </c>
      <c r="W80" s="113">
        <f t="shared" si="0"/>
        <v>0</v>
      </c>
      <c r="X80" s="113">
        <f t="shared" si="0"/>
        <v>0</v>
      </c>
      <c r="Y80" s="113">
        <f t="shared" si="0"/>
        <v>0</v>
      </c>
      <c r="Z80" s="113"/>
      <c r="AA80" s="113"/>
      <c r="AB80" s="113"/>
      <c r="AC80" s="113"/>
      <c r="AD80" s="113"/>
      <c r="AE80" s="60"/>
      <c r="AF80" s="60"/>
      <c r="AG80" s="60"/>
      <c r="AH80" s="60"/>
      <c r="AI80" s="60"/>
    </row>
    <row r="81" spans="1:50">
      <c r="B81" s="60"/>
      <c r="C81" s="60"/>
      <c r="D81" s="60"/>
      <c r="E81" s="60"/>
      <c r="F81" s="60"/>
      <c r="G81" s="60"/>
      <c r="H81" s="60"/>
      <c r="I81" s="60"/>
      <c r="J81" s="60"/>
      <c r="K81" s="71"/>
      <c r="L81" s="71"/>
      <c r="N81" s="60"/>
      <c r="O81" s="60"/>
      <c r="P81" s="60"/>
      <c r="Q81" s="168"/>
      <c r="R81" s="60"/>
      <c r="S81" s="60"/>
      <c r="T81" s="71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</row>
    <row r="82" spans="1:50">
      <c r="B82" s="60"/>
      <c r="C82" s="60"/>
      <c r="D82" s="60"/>
      <c r="E82" s="60"/>
      <c r="F82" s="60"/>
      <c r="G82" s="60"/>
      <c r="H82" s="60"/>
      <c r="I82" s="60"/>
      <c r="J82" s="60"/>
      <c r="K82" s="71"/>
      <c r="L82" s="71"/>
      <c r="N82" s="60"/>
      <c r="O82" s="60"/>
      <c r="P82" s="60"/>
      <c r="Q82" s="168"/>
      <c r="R82" s="60"/>
      <c r="S82" s="60"/>
      <c r="T82" s="71"/>
      <c r="U82" s="60"/>
      <c r="V82" s="60"/>
      <c r="W82" s="60"/>
      <c r="X82" s="155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</row>
    <row r="83" spans="1:50" s="61" customFormat="1" ht="18.95">
      <c r="B83" s="72" t="s">
        <v>133</v>
      </c>
      <c r="C83" s="336" t="s">
        <v>134</v>
      </c>
      <c r="D83" s="336"/>
      <c r="E83" s="72" t="s">
        <v>9</v>
      </c>
      <c r="F83" s="72" t="s">
        <v>17</v>
      </c>
      <c r="G83" s="72" t="s">
        <v>21</v>
      </c>
      <c r="H83" s="72" t="s">
        <v>26</v>
      </c>
      <c r="I83" s="72" t="s">
        <v>30</v>
      </c>
      <c r="J83" s="124" t="s">
        <v>34</v>
      </c>
      <c r="K83" s="124" t="s">
        <v>38</v>
      </c>
      <c r="L83" s="72" t="s">
        <v>42</v>
      </c>
      <c r="M83" s="72" t="s">
        <v>47</v>
      </c>
      <c r="N83" s="72" t="s">
        <v>52</v>
      </c>
      <c r="O83" s="72" t="s">
        <v>55</v>
      </c>
      <c r="P83" s="72" t="s">
        <v>58</v>
      </c>
      <c r="Q83" s="118" t="s">
        <v>62</v>
      </c>
      <c r="R83" s="72" t="s">
        <v>65</v>
      </c>
      <c r="S83" s="172" t="s">
        <v>69</v>
      </c>
      <c r="T83" s="172" t="s">
        <v>73</v>
      </c>
      <c r="U83" s="172" t="s">
        <v>79</v>
      </c>
      <c r="V83" s="172" t="s">
        <v>84</v>
      </c>
      <c r="W83" s="178" t="s">
        <v>87</v>
      </c>
      <c r="X83" s="119"/>
      <c r="Y83" s="180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</row>
    <row r="84" spans="1:50" s="61" customFormat="1" ht="18.95">
      <c r="B84" s="72"/>
      <c r="C84" s="72"/>
      <c r="D84" s="72"/>
      <c r="E84" s="72" t="s">
        <v>11</v>
      </c>
      <c r="F84" s="72" t="s">
        <v>16</v>
      </c>
      <c r="G84" s="72" t="s">
        <v>23</v>
      </c>
      <c r="H84" s="72" t="s">
        <v>23</v>
      </c>
      <c r="I84" s="72" t="s">
        <v>23</v>
      </c>
      <c r="J84" s="124" t="s">
        <v>23</v>
      </c>
      <c r="K84" s="124" t="s">
        <v>13</v>
      </c>
      <c r="L84" s="72" t="s">
        <v>307</v>
      </c>
      <c r="M84" s="72" t="s">
        <v>308</v>
      </c>
      <c r="N84" s="72" t="s">
        <v>13</v>
      </c>
      <c r="O84" s="72" t="s">
        <v>13</v>
      </c>
      <c r="P84" s="72" t="s">
        <v>13</v>
      </c>
      <c r="Q84" s="118" t="s">
        <v>13</v>
      </c>
      <c r="R84" s="72" t="s">
        <v>13</v>
      </c>
      <c r="S84" s="172" t="s">
        <v>309</v>
      </c>
      <c r="T84" s="172" t="s">
        <v>310</v>
      </c>
      <c r="U84" s="173" t="s">
        <v>311</v>
      </c>
      <c r="V84" s="172" t="s">
        <v>312</v>
      </c>
      <c r="W84" s="178" t="s">
        <v>313</v>
      </c>
      <c r="X84" s="119"/>
      <c r="Y84" s="180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</row>
    <row r="85" spans="1:50" s="28" customFormat="1" ht="25.5" customHeight="1">
      <c r="A85" s="341" t="s">
        <v>314</v>
      </c>
      <c r="B85" s="327" t="s">
        <v>137</v>
      </c>
      <c r="C85" s="120">
        <v>1</v>
      </c>
      <c r="D85" s="121" t="s">
        <v>138</v>
      </c>
      <c r="E85" s="189"/>
      <c r="F85" s="189"/>
      <c r="G85" s="189"/>
      <c r="H85" s="189" t="s">
        <v>315</v>
      </c>
      <c r="I85" s="189"/>
      <c r="J85" s="189"/>
      <c r="K85" s="189"/>
      <c r="L85" s="189" t="s">
        <v>316</v>
      </c>
      <c r="M85" s="189" t="s">
        <v>317</v>
      </c>
      <c r="N85" s="189"/>
      <c r="O85" s="189"/>
      <c r="P85" s="189"/>
      <c r="Q85" s="189"/>
      <c r="R85" s="189"/>
      <c r="S85" s="189"/>
      <c r="T85" s="189"/>
      <c r="U85" s="189" t="s">
        <v>318</v>
      </c>
      <c r="V85" s="189" t="s">
        <v>319</v>
      </c>
      <c r="W85" s="205"/>
      <c r="X85" s="53"/>
      <c r="Y85" s="201"/>
      <c r="Z85" s="189"/>
      <c r="AA85" s="189"/>
      <c r="AB85" s="189"/>
      <c r="AC85" s="189"/>
      <c r="AD85" s="189"/>
      <c r="AE85" s="189"/>
      <c r="AF85" s="53"/>
      <c r="AG85" s="53"/>
      <c r="AH85" s="53"/>
      <c r="AI85" s="53"/>
    </row>
    <row r="86" spans="1:50" s="28" customFormat="1" ht="29.25" customHeight="1">
      <c r="A86" s="342"/>
      <c r="B86" s="328"/>
      <c r="C86" s="120">
        <v>2</v>
      </c>
      <c r="D86" s="121" t="s">
        <v>146</v>
      </c>
      <c r="E86" s="189"/>
      <c r="F86" s="189"/>
      <c r="G86" s="189"/>
      <c r="H86" s="189" t="s">
        <v>315</v>
      </c>
      <c r="I86" s="189" t="s">
        <v>320</v>
      </c>
      <c r="J86" s="189"/>
      <c r="K86" s="189"/>
      <c r="L86" s="189" t="s">
        <v>321</v>
      </c>
      <c r="M86" s="189" t="s">
        <v>317</v>
      </c>
      <c r="N86" s="189"/>
      <c r="O86" s="189"/>
      <c r="P86" s="189"/>
      <c r="Q86" s="189"/>
      <c r="R86" s="189"/>
      <c r="S86" s="189"/>
      <c r="T86" s="189" t="s">
        <v>322</v>
      </c>
      <c r="U86" s="189" t="s">
        <v>318</v>
      </c>
      <c r="V86" s="189" t="s">
        <v>319</v>
      </c>
      <c r="W86" s="205"/>
      <c r="X86" s="53"/>
      <c r="Y86" s="201"/>
      <c r="Z86" s="189"/>
      <c r="AA86" s="189"/>
      <c r="AB86" s="189"/>
      <c r="AC86" s="189"/>
      <c r="AD86" s="189"/>
      <c r="AE86" s="189"/>
      <c r="AF86" s="53"/>
      <c r="AG86" s="53"/>
      <c r="AH86" s="53"/>
      <c r="AI86" s="53"/>
    </row>
    <row r="87" spans="1:50" s="28" customFormat="1" ht="21.75" customHeight="1">
      <c r="A87" s="342"/>
      <c r="B87" s="328"/>
      <c r="C87" s="120">
        <v>3</v>
      </c>
      <c r="D87" s="121" t="s">
        <v>149</v>
      </c>
      <c r="E87" s="189"/>
      <c r="F87" s="189"/>
      <c r="G87" s="189"/>
      <c r="H87" s="189" t="s">
        <v>315</v>
      </c>
      <c r="I87" s="237" t="s">
        <v>320</v>
      </c>
      <c r="J87" s="189"/>
      <c r="K87" s="189"/>
      <c r="L87" s="189" t="s">
        <v>321</v>
      </c>
      <c r="M87" s="189" t="s">
        <v>317</v>
      </c>
      <c r="N87" s="189"/>
      <c r="O87" s="189"/>
      <c r="P87" s="189"/>
      <c r="Q87" s="189"/>
      <c r="R87" s="189"/>
      <c r="S87" s="189"/>
      <c r="T87" s="189" t="s">
        <v>322</v>
      </c>
      <c r="U87" s="189" t="s">
        <v>318</v>
      </c>
      <c r="V87" s="189" t="s">
        <v>319</v>
      </c>
      <c r="W87" s="205"/>
      <c r="X87" s="53"/>
      <c r="Y87" s="201"/>
      <c r="Z87" s="189"/>
      <c r="AA87" s="189"/>
      <c r="AB87" s="189"/>
      <c r="AC87" s="189"/>
      <c r="AD87" s="189"/>
      <c r="AE87" s="189"/>
      <c r="AF87" s="53"/>
      <c r="AG87" s="53"/>
      <c r="AH87" s="53"/>
      <c r="AI87" s="53"/>
    </row>
    <row r="88" spans="1:50" s="28" customFormat="1" ht="15.95" customHeight="1">
      <c r="A88" s="342"/>
      <c r="B88" s="328"/>
      <c r="C88" s="120">
        <v>4</v>
      </c>
      <c r="D88" s="121" t="s">
        <v>152</v>
      </c>
      <c r="E88" s="189"/>
      <c r="F88" s="189"/>
      <c r="G88" s="189"/>
      <c r="H88" s="205" t="s">
        <v>323</v>
      </c>
      <c r="I88" s="53" t="s">
        <v>324</v>
      </c>
      <c r="J88" s="201"/>
      <c r="K88" s="189"/>
      <c r="L88" s="189" t="s">
        <v>321</v>
      </c>
      <c r="M88" s="189" t="s">
        <v>325</v>
      </c>
      <c r="N88" s="189"/>
      <c r="O88" s="189"/>
      <c r="P88" s="189"/>
      <c r="Q88" s="189"/>
      <c r="R88" s="189"/>
      <c r="S88" s="189"/>
      <c r="T88" s="189"/>
      <c r="U88" s="189" t="s">
        <v>326</v>
      </c>
      <c r="V88" s="189" t="s">
        <v>327</v>
      </c>
      <c r="W88" s="205"/>
      <c r="X88" s="53"/>
      <c r="Y88" s="201"/>
      <c r="Z88" s="189"/>
      <c r="AA88" s="189"/>
      <c r="AB88" s="189"/>
      <c r="AC88" s="189"/>
      <c r="AD88" s="189"/>
      <c r="AE88" s="189"/>
      <c r="AF88" s="53"/>
      <c r="AG88" s="53"/>
      <c r="AH88" s="53"/>
      <c r="AI88" s="53"/>
    </row>
    <row r="89" spans="1:50" s="28" customFormat="1" ht="15.95" customHeight="1">
      <c r="A89" s="342"/>
      <c r="B89" s="328"/>
      <c r="C89" s="120">
        <v>5</v>
      </c>
      <c r="D89" s="121" t="s">
        <v>162</v>
      </c>
      <c r="E89" s="189"/>
      <c r="F89" s="189"/>
      <c r="G89" s="189"/>
      <c r="H89" s="205" t="s">
        <v>323</v>
      </c>
      <c r="I89" s="53" t="s">
        <v>324</v>
      </c>
      <c r="J89" s="201"/>
      <c r="K89" s="189"/>
      <c r="L89" s="189"/>
      <c r="M89" s="189" t="s">
        <v>325</v>
      </c>
      <c r="N89" s="189"/>
      <c r="O89" s="189"/>
      <c r="P89" s="189"/>
      <c r="Q89" s="189"/>
      <c r="R89" s="189"/>
      <c r="S89" s="189"/>
      <c r="T89" s="189" t="s">
        <v>328</v>
      </c>
      <c r="U89" s="189" t="s">
        <v>326</v>
      </c>
      <c r="V89" s="189" t="s">
        <v>327</v>
      </c>
      <c r="W89" s="205"/>
      <c r="X89" s="53"/>
      <c r="Y89" s="201"/>
      <c r="Z89" s="189"/>
      <c r="AA89" s="189"/>
      <c r="AB89" s="189"/>
      <c r="AC89" s="189"/>
      <c r="AD89" s="189"/>
      <c r="AE89" s="189"/>
      <c r="AF89" s="53"/>
      <c r="AG89" s="53"/>
      <c r="AH89" s="53"/>
      <c r="AI89" s="53"/>
    </row>
    <row r="90" spans="1:50" s="28" customFormat="1" ht="15.95" customHeight="1">
      <c r="A90" s="342"/>
      <c r="B90" s="328"/>
      <c r="C90" s="120">
        <v>6</v>
      </c>
      <c r="D90" s="121" t="s">
        <v>164</v>
      </c>
      <c r="E90" s="189"/>
      <c r="F90" s="189" t="s">
        <v>329</v>
      </c>
      <c r="G90" s="189"/>
      <c r="H90" s="205" t="s">
        <v>323</v>
      </c>
      <c r="I90" s="53" t="s">
        <v>324</v>
      </c>
      <c r="J90" s="201" t="s">
        <v>330</v>
      </c>
      <c r="K90" s="189"/>
      <c r="L90" s="189"/>
      <c r="M90" s="189" t="s">
        <v>325</v>
      </c>
      <c r="N90" s="189"/>
      <c r="O90" s="189"/>
      <c r="P90" s="189"/>
      <c r="Q90" s="189"/>
      <c r="R90" s="189"/>
      <c r="S90" s="189"/>
      <c r="T90" s="189" t="s">
        <v>328</v>
      </c>
      <c r="U90" s="189" t="s">
        <v>326</v>
      </c>
      <c r="V90" s="53"/>
      <c r="W90" s="205"/>
      <c r="X90" s="53"/>
      <c r="Y90" s="201"/>
      <c r="Z90" s="189"/>
      <c r="AA90" s="189"/>
      <c r="AB90" s="189"/>
      <c r="AC90" s="189"/>
      <c r="AD90" s="189"/>
      <c r="AE90" s="189"/>
      <c r="AF90" s="53"/>
      <c r="AG90" s="53"/>
      <c r="AH90" s="53"/>
      <c r="AI90" s="53"/>
    </row>
    <row r="91" spans="1:50" s="28" customFormat="1" ht="15.95" customHeight="1">
      <c r="A91" s="342"/>
      <c r="B91" s="328"/>
      <c r="C91" s="120">
        <v>7</v>
      </c>
      <c r="D91" s="121" t="s">
        <v>165</v>
      </c>
      <c r="E91" s="189"/>
      <c r="F91" s="189" t="s">
        <v>329</v>
      </c>
      <c r="G91" s="237"/>
      <c r="H91" s="285" t="s">
        <v>331</v>
      </c>
      <c r="I91" s="261"/>
      <c r="J91" s="237" t="s">
        <v>332</v>
      </c>
      <c r="K91" s="237"/>
      <c r="L91" s="177"/>
      <c r="M91" s="237"/>
      <c r="N91" s="237"/>
      <c r="O91" s="237"/>
      <c r="P91" s="237"/>
      <c r="Q91" s="237"/>
      <c r="R91" s="237"/>
      <c r="S91" s="237"/>
      <c r="T91" s="237"/>
      <c r="U91" s="237" t="s">
        <v>333</v>
      </c>
      <c r="V91" s="182" t="s">
        <v>334</v>
      </c>
      <c r="W91" s="252"/>
      <c r="X91" s="53"/>
      <c r="Y91" s="238"/>
      <c r="Z91" s="237"/>
      <c r="AA91" s="237"/>
      <c r="AB91" s="237"/>
      <c r="AC91" s="237"/>
      <c r="AD91" s="237"/>
      <c r="AE91" s="237"/>
      <c r="AF91" s="227"/>
      <c r="AG91" s="227"/>
      <c r="AH91" s="227"/>
      <c r="AI91" s="227"/>
    </row>
    <row r="92" spans="1:50" s="28" customFormat="1" ht="15.95" customHeight="1">
      <c r="A92" s="342"/>
      <c r="B92" s="328"/>
      <c r="C92" s="120">
        <v>8</v>
      </c>
      <c r="D92" s="121" t="s">
        <v>169</v>
      </c>
      <c r="E92" s="205"/>
      <c r="F92" s="189" t="s">
        <v>329</v>
      </c>
      <c r="G92" s="189"/>
      <c r="H92" s="285" t="s">
        <v>331</v>
      </c>
      <c r="I92" s="189"/>
      <c r="J92" s="189"/>
      <c r="K92" s="189"/>
      <c r="L92" s="171"/>
      <c r="M92" s="189"/>
      <c r="N92" s="189"/>
      <c r="O92" s="189"/>
      <c r="P92" s="189"/>
      <c r="Q92" s="189"/>
      <c r="R92" s="189"/>
      <c r="S92" s="189"/>
      <c r="T92" s="189"/>
      <c r="U92" s="189" t="s">
        <v>333</v>
      </c>
      <c r="V92" s="70" t="s">
        <v>334</v>
      </c>
      <c r="W92" s="205"/>
      <c r="X92" s="53"/>
      <c r="Y92" s="201"/>
      <c r="Z92" s="189"/>
      <c r="AA92" s="189"/>
      <c r="AB92" s="189"/>
      <c r="AC92" s="189"/>
      <c r="AD92" s="189"/>
      <c r="AE92" s="189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</row>
    <row r="93" spans="1:50" s="28" customFormat="1" ht="15.95" customHeight="1">
      <c r="A93" s="342"/>
      <c r="B93" s="328"/>
      <c r="C93" s="120">
        <v>9</v>
      </c>
      <c r="D93" s="121" t="s">
        <v>172</v>
      </c>
      <c r="E93" s="252"/>
      <c r="F93" s="189"/>
      <c r="G93" s="189"/>
      <c r="H93" s="285" t="s">
        <v>331</v>
      </c>
      <c r="I93" s="189"/>
      <c r="J93" s="189"/>
      <c r="K93" s="189"/>
      <c r="L93" s="171"/>
      <c r="M93" s="189"/>
      <c r="N93" s="189"/>
      <c r="O93" s="189"/>
      <c r="P93" s="189"/>
      <c r="Q93" s="189"/>
      <c r="R93" s="189"/>
      <c r="S93" s="189"/>
      <c r="T93" s="189"/>
      <c r="U93" s="189"/>
      <c r="V93" s="70" t="s">
        <v>334</v>
      </c>
      <c r="W93" s="205"/>
      <c r="X93" s="53"/>
      <c r="Y93" s="201"/>
      <c r="Z93" s="189"/>
      <c r="AA93" s="189"/>
      <c r="AB93" s="189"/>
      <c r="AC93" s="189"/>
      <c r="AD93" s="189"/>
      <c r="AE93" s="189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</row>
    <row r="94" spans="1:50" s="28" customFormat="1" ht="15.95" customHeight="1">
      <c r="A94" s="342"/>
      <c r="B94" s="328"/>
      <c r="C94" s="120">
        <v>10</v>
      </c>
      <c r="D94" s="121" t="s">
        <v>174</v>
      </c>
      <c r="E94" s="53"/>
      <c r="F94" s="181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179"/>
      <c r="X94" s="53"/>
      <c r="Y94" s="181"/>
      <c r="Z94" s="189"/>
      <c r="AA94" s="189"/>
      <c r="AB94" s="189"/>
      <c r="AC94" s="189"/>
      <c r="AD94" s="189"/>
      <c r="AE94" s="189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</row>
    <row r="95" spans="1:50" s="28" customFormat="1" ht="15.95" customHeight="1">
      <c r="A95" s="342"/>
      <c r="B95" s="328"/>
      <c r="C95" s="120">
        <v>11</v>
      </c>
      <c r="D95" s="121" t="s">
        <v>177</v>
      </c>
      <c r="E95" s="53"/>
      <c r="F95" s="18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179"/>
      <c r="X95" s="53"/>
      <c r="Y95" s="181"/>
      <c r="Z95" s="189"/>
      <c r="AA95" s="189"/>
      <c r="AB95" s="189"/>
      <c r="AC95" s="189"/>
      <c r="AD95" s="189"/>
      <c r="AE95" s="189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</row>
    <row r="96" spans="1:50" s="28" customFormat="1" ht="15.95" customHeight="1">
      <c r="A96" s="342"/>
      <c r="B96" s="329"/>
      <c r="C96" s="120">
        <v>12</v>
      </c>
      <c r="D96" s="121" t="s">
        <v>178</v>
      </c>
      <c r="E96" s="53"/>
      <c r="F96" s="18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179"/>
      <c r="X96" s="53"/>
      <c r="Y96" s="181"/>
      <c r="Z96" s="189"/>
      <c r="AA96" s="189"/>
      <c r="AB96" s="189"/>
      <c r="AC96" s="189"/>
      <c r="AD96" s="189"/>
      <c r="AE96" s="189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</row>
    <row r="97" spans="1:35" ht="21" customHeight="1">
      <c r="A97" s="342"/>
      <c r="B97" s="330" t="s">
        <v>179</v>
      </c>
      <c r="C97" s="122">
        <v>1</v>
      </c>
      <c r="D97" s="132" t="s">
        <v>138</v>
      </c>
      <c r="E97" s="216" t="s">
        <v>186</v>
      </c>
      <c r="F97" s="216"/>
      <c r="G97" s="216"/>
      <c r="H97" s="216" t="s">
        <v>315</v>
      </c>
      <c r="I97" s="216"/>
      <c r="J97" s="216"/>
      <c r="K97" s="216"/>
      <c r="L97" s="216" t="s">
        <v>335</v>
      </c>
      <c r="M97" s="216" t="s">
        <v>23</v>
      </c>
      <c r="N97" s="216"/>
      <c r="O97" s="216"/>
      <c r="P97" s="216"/>
      <c r="Q97" s="253"/>
      <c r="R97" s="216"/>
      <c r="S97" s="216"/>
      <c r="T97" s="216"/>
      <c r="U97" s="216" t="s">
        <v>336</v>
      </c>
      <c r="V97" s="216" t="s">
        <v>23</v>
      </c>
      <c r="W97" s="216"/>
      <c r="X97" s="71"/>
      <c r="Y97" s="216"/>
      <c r="Z97" s="254"/>
      <c r="AA97" s="254"/>
      <c r="AB97" s="254"/>
      <c r="AC97" s="254"/>
      <c r="AD97" s="254"/>
      <c r="AE97" s="254"/>
      <c r="AF97" s="254"/>
      <c r="AG97" s="254"/>
      <c r="AH97" s="254"/>
      <c r="AI97" s="254"/>
    </row>
    <row r="98" spans="1:35" ht="21" customHeight="1">
      <c r="A98" s="342"/>
      <c r="B98" s="331"/>
      <c r="C98" s="122">
        <v>2</v>
      </c>
      <c r="D98" s="132" t="s">
        <v>146</v>
      </c>
      <c r="E98" s="216" t="s">
        <v>186</v>
      </c>
      <c r="F98" s="71"/>
      <c r="G98" s="71"/>
      <c r="H98" s="71" t="s">
        <v>315</v>
      </c>
      <c r="I98" s="216" t="s">
        <v>337</v>
      </c>
      <c r="J98" s="267" t="s">
        <v>338</v>
      </c>
      <c r="K98" s="71"/>
      <c r="L98" s="216" t="s">
        <v>335</v>
      </c>
      <c r="M98" s="216" t="s">
        <v>23</v>
      </c>
      <c r="N98" s="71"/>
      <c r="O98" s="71"/>
      <c r="P98" s="71"/>
      <c r="Q98" s="214"/>
      <c r="R98" s="71"/>
      <c r="S98" s="71"/>
      <c r="T98" s="71"/>
      <c r="U98" s="216" t="s">
        <v>336</v>
      </c>
      <c r="V98" s="71" t="s">
        <v>23</v>
      </c>
      <c r="W98" s="71"/>
      <c r="X98" s="71"/>
      <c r="Y98" s="71"/>
      <c r="Z98" s="60"/>
      <c r="AA98" s="60"/>
      <c r="AB98" s="60"/>
      <c r="AC98" s="60"/>
      <c r="AD98" s="60"/>
      <c r="AE98" s="60"/>
      <c r="AF98" s="60"/>
      <c r="AG98" s="60"/>
      <c r="AH98" s="60"/>
      <c r="AI98" s="60"/>
    </row>
    <row r="99" spans="1:35" ht="21" customHeight="1">
      <c r="A99" s="342"/>
      <c r="B99" s="331"/>
      <c r="C99" s="122">
        <v>3</v>
      </c>
      <c r="D99" s="132" t="s">
        <v>149</v>
      </c>
      <c r="E99" s="216" t="s">
        <v>186</v>
      </c>
      <c r="F99" s="71"/>
      <c r="G99" s="71"/>
      <c r="H99" s="71" t="s">
        <v>315</v>
      </c>
      <c r="I99" s="71" t="s">
        <v>339</v>
      </c>
      <c r="J99" s="268" t="s">
        <v>338</v>
      </c>
      <c r="K99" s="71"/>
      <c r="L99" s="216" t="s">
        <v>335</v>
      </c>
      <c r="M99" s="216" t="s">
        <v>23</v>
      </c>
      <c r="N99" s="71"/>
      <c r="O99" s="71"/>
      <c r="P99" s="71"/>
      <c r="Q99" s="214"/>
      <c r="R99" s="71"/>
      <c r="S99" s="71"/>
      <c r="T99" s="71"/>
      <c r="U99" s="216" t="s">
        <v>340</v>
      </c>
      <c r="V99" s="71" t="s">
        <v>23</v>
      </c>
      <c r="W99" s="71"/>
      <c r="X99" s="71"/>
      <c r="Y99" s="71"/>
      <c r="Z99" s="60"/>
      <c r="AA99" s="60"/>
      <c r="AB99" s="60"/>
      <c r="AC99" s="60"/>
      <c r="AD99" s="60"/>
      <c r="AE99" s="60"/>
      <c r="AF99" s="60"/>
      <c r="AG99" s="60"/>
      <c r="AH99" s="60"/>
      <c r="AI99" s="60"/>
    </row>
    <row r="100" spans="1:35" ht="21" customHeight="1">
      <c r="A100" s="342"/>
      <c r="B100" s="331"/>
      <c r="C100" s="122">
        <v>4</v>
      </c>
      <c r="D100" s="132" t="s">
        <v>152</v>
      </c>
      <c r="E100" s="71"/>
      <c r="F100" s="71"/>
      <c r="G100" s="71"/>
      <c r="H100" s="310" t="s">
        <v>341</v>
      </c>
      <c r="I100" s="242" t="s">
        <v>342</v>
      </c>
      <c r="J100" s="214" t="s">
        <v>343</v>
      </c>
      <c r="K100" s="71"/>
      <c r="L100" s="216" t="s">
        <v>335</v>
      </c>
      <c r="M100" s="253" t="s">
        <v>344</v>
      </c>
      <c r="N100" s="71"/>
      <c r="O100" s="71"/>
      <c r="P100" s="71"/>
      <c r="Q100" s="214"/>
      <c r="R100" s="71"/>
      <c r="S100" s="71"/>
      <c r="T100" s="71"/>
      <c r="U100" s="216" t="s">
        <v>340</v>
      </c>
      <c r="V100" s="71" t="s">
        <v>23</v>
      </c>
      <c r="W100" s="71"/>
      <c r="X100" s="71"/>
      <c r="Y100" s="71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</row>
    <row r="101" spans="1:35" ht="21" customHeight="1">
      <c r="A101" s="342"/>
      <c r="B101" s="331"/>
      <c r="C101" s="122">
        <v>5</v>
      </c>
      <c r="D101" s="132" t="s">
        <v>162</v>
      </c>
      <c r="E101" s="71" t="s">
        <v>203</v>
      </c>
      <c r="F101" s="71"/>
      <c r="G101" s="71"/>
      <c r="H101" s="311" t="s">
        <v>341</v>
      </c>
      <c r="I101" s="242" t="s">
        <v>342</v>
      </c>
      <c r="J101" s="214" t="s">
        <v>343</v>
      </c>
      <c r="K101" s="71"/>
      <c r="L101" s="71"/>
      <c r="M101" s="253" t="s">
        <v>344</v>
      </c>
      <c r="N101" s="71"/>
      <c r="O101" s="71"/>
      <c r="P101" s="71"/>
      <c r="Q101" s="214"/>
      <c r="R101" s="187"/>
      <c r="S101" s="71"/>
      <c r="T101" s="71"/>
      <c r="U101" s="71" t="s">
        <v>345</v>
      </c>
      <c r="V101" s="71" t="s">
        <v>346</v>
      </c>
      <c r="W101" s="71"/>
      <c r="X101" s="71"/>
      <c r="Y101" s="71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</row>
    <row r="102" spans="1:35" ht="21" customHeight="1">
      <c r="A102" s="342"/>
      <c r="B102" s="331"/>
      <c r="C102" s="122">
        <v>6</v>
      </c>
      <c r="D102" s="132" t="s">
        <v>164</v>
      </c>
      <c r="E102" s="71" t="s">
        <v>203</v>
      </c>
      <c r="F102" s="71"/>
      <c r="G102" s="71"/>
      <c r="H102" s="71"/>
      <c r="I102" s="242" t="s">
        <v>342</v>
      </c>
      <c r="J102" s="214" t="s">
        <v>343</v>
      </c>
      <c r="K102" s="71"/>
      <c r="L102" s="71" t="s">
        <v>347</v>
      </c>
      <c r="M102" s="253" t="s">
        <v>344</v>
      </c>
      <c r="N102" s="71"/>
      <c r="O102" s="71"/>
      <c r="P102" s="71"/>
      <c r="Q102" s="214"/>
      <c r="R102" s="187"/>
      <c r="S102" s="71"/>
      <c r="T102" s="71"/>
      <c r="U102" s="71" t="s">
        <v>345</v>
      </c>
      <c r="V102" s="71" t="s">
        <v>346</v>
      </c>
      <c r="W102" s="71"/>
      <c r="X102" s="71"/>
      <c r="Y102" s="71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</row>
    <row r="103" spans="1:35" ht="21" customHeight="1">
      <c r="A103" s="342"/>
      <c r="B103" s="331"/>
      <c r="C103" s="122">
        <v>7</v>
      </c>
      <c r="D103" s="132" t="s">
        <v>165</v>
      </c>
      <c r="E103" s="71" t="s">
        <v>203</v>
      </c>
      <c r="F103" s="71"/>
      <c r="G103" s="71"/>
      <c r="H103" s="71" t="s">
        <v>348</v>
      </c>
      <c r="I103" s="71" t="s">
        <v>349</v>
      </c>
      <c r="J103" s="71" t="s">
        <v>349</v>
      </c>
      <c r="K103" s="71"/>
      <c r="L103" s="71" t="s">
        <v>347</v>
      </c>
      <c r="M103" s="126" t="s">
        <v>23</v>
      </c>
      <c r="N103" s="71"/>
      <c r="O103" s="71"/>
      <c r="P103" s="71"/>
      <c r="Q103" s="214"/>
      <c r="R103" s="187"/>
      <c r="S103" s="71"/>
      <c r="T103" s="71" t="s">
        <v>350</v>
      </c>
      <c r="U103" s="216" t="s">
        <v>351</v>
      </c>
      <c r="V103" s="71" t="s">
        <v>23</v>
      </c>
      <c r="W103" s="71"/>
      <c r="X103" s="71"/>
      <c r="Y103" s="71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</row>
    <row r="104" spans="1:35">
      <c r="A104" s="342"/>
      <c r="B104" s="331"/>
      <c r="C104" s="122">
        <v>8</v>
      </c>
      <c r="D104" s="132" t="s">
        <v>169</v>
      </c>
      <c r="E104" s="71"/>
      <c r="F104" s="71"/>
      <c r="G104" s="71"/>
      <c r="H104" s="71" t="s">
        <v>348</v>
      </c>
      <c r="I104" s="71" t="s">
        <v>349</v>
      </c>
      <c r="J104" s="71" t="s">
        <v>349</v>
      </c>
      <c r="K104" s="71"/>
      <c r="L104" s="71" t="s">
        <v>347</v>
      </c>
      <c r="M104" s="216" t="s">
        <v>23</v>
      </c>
      <c r="N104" s="71"/>
      <c r="O104" s="71"/>
      <c r="P104" s="71"/>
      <c r="Q104" s="214"/>
      <c r="R104" s="187"/>
      <c r="S104" s="71"/>
      <c r="T104" s="71" t="s">
        <v>350</v>
      </c>
      <c r="U104" s="216" t="s">
        <v>351</v>
      </c>
      <c r="V104" s="71" t="s">
        <v>23</v>
      </c>
      <c r="W104" s="71"/>
      <c r="X104" s="71"/>
      <c r="Y104" s="71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</row>
    <row r="105" spans="1:35">
      <c r="A105" s="342"/>
      <c r="B105" s="331"/>
      <c r="C105" s="122">
        <v>9</v>
      </c>
      <c r="D105" s="132" t="s">
        <v>172</v>
      </c>
      <c r="E105" s="71"/>
      <c r="F105" s="71"/>
      <c r="G105" s="71"/>
      <c r="H105" s="71" t="s">
        <v>348</v>
      </c>
      <c r="I105" s="71" t="s">
        <v>349</v>
      </c>
      <c r="J105" s="71" t="s">
        <v>349</v>
      </c>
      <c r="K105" s="71"/>
      <c r="L105" s="71" t="s">
        <v>347</v>
      </c>
      <c r="M105" s="216" t="s">
        <v>23</v>
      </c>
      <c r="N105" s="71"/>
      <c r="O105" s="71"/>
      <c r="P105" s="71"/>
      <c r="Q105" s="214"/>
      <c r="R105" s="187"/>
      <c r="S105" s="71"/>
      <c r="T105" s="71"/>
      <c r="U105" s="71"/>
      <c r="V105" s="71" t="s">
        <v>23</v>
      </c>
      <c r="W105" s="71"/>
      <c r="X105" s="71"/>
      <c r="Y105" s="71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</row>
    <row r="106" spans="1:35">
      <c r="A106" s="342"/>
      <c r="B106" s="331"/>
      <c r="C106" s="122">
        <v>10</v>
      </c>
      <c r="D106" s="132" t="s">
        <v>174</v>
      </c>
      <c r="E106" s="71"/>
      <c r="F106" s="71"/>
      <c r="G106" s="71"/>
      <c r="H106" s="71"/>
      <c r="I106" s="71"/>
      <c r="J106" s="71"/>
      <c r="K106" s="71"/>
      <c r="L106" s="71"/>
      <c r="M106" s="216" t="s">
        <v>23</v>
      </c>
      <c r="N106" s="71"/>
      <c r="O106" s="71"/>
      <c r="P106" s="71"/>
      <c r="Q106" s="214"/>
      <c r="R106" s="187"/>
      <c r="S106" s="187"/>
      <c r="T106" s="187"/>
      <c r="U106" s="187"/>
      <c r="V106" s="187"/>
      <c r="W106" s="187"/>
      <c r="X106" s="71"/>
      <c r="Y106" s="71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</row>
    <row r="107" spans="1:35">
      <c r="A107" s="342"/>
      <c r="B107" s="331"/>
      <c r="C107" s="122">
        <v>11</v>
      </c>
      <c r="D107" s="132" t="s">
        <v>211</v>
      </c>
      <c r="E107" s="71"/>
      <c r="F107" s="71"/>
      <c r="G107" s="71"/>
      <c r="H107" s="71"/>
      <c r="I107" s="71"/>
      <c r="J107" s="71"/>
      <c r="K107" s="71"/>
      <c r="L107" s="71"/>
      <c r="M107" s="216" t="s">
        <v>23</v>
      </c>
      <c r="N107" s="71"/>
      <c r="O107" s="71"/>
      <c r="P107" s="71"/>
      <c r="Q107" s="214"/>
      <c r="R107" s="187"/>
      <c r="S107" s="187"/>
      <c r="T107" s="187"/>
      <c r="U107" s="187"/>
      <c r="V107" s="187"/>
      <c r="W107" s="187"/>
      <c r="X107" s="71"/>
      <c r="Y107" s="71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</row>
    <row r="108" spans="1:35">
      <c r="A108" s="342"/>
      <c r="B108" s="332"/>
      <c r="C108" s="122">
        <v>12</v>
      </c>
      <c r="D108" s="132" t="s">
        <v>178</v>
      </c>
      <c r="E108" s="71"/>
      <c r="F108" s="71"/>
      <c r="G108" s="71"/>
      <c r="H108" s="71"/>
      <c r="I108" s="71"/>
      <c r="J108" s="71"/>
      <c r="K108" s="71"/>
      <c r="L108" s="71"/>
      <c r="M108" s="216" t="s">
        <v>23</v>
      </c>
      <c r="N108" s="71"/>
      <c r="O108" s="71"/>
      <c r="P108" s="71"/>
      <c r="Q108" s="214"/>
      <c r="R108" s="187"/>
      <c r="S108" s="187"/>
      <c r="T108" s="187"/>
      <c r="U108" s="187"/>
      <c r="V108" s="187"/>
      <c r="W108" s="187"/>
      <c r="X108" s="71"/>
      <c r="Y108" s="71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</row>
    <row r="109" spans="1:35" s="28" customFormat="1" ht="20.100000000000001" customHeight="1">
      <c r="A109" s="342"/>
      <c r="B109" s="327" t="s">
        <v>212</v>
      </c>
      <c r="C109" s="120">
        <v>1</v>
      </c>
      <c r="D109" s="121" t="s">
        <v>138</v>
      </c>
      <c r="E109" s="189" t="s">
        <v>352</v>
      </c>
      <c r="F109" s="189"/>
      <c r="G109" s="189"/>
      <c r="H109" s="189" t="s">
        <v>353</v>
      </c>
      <c r="I109" s="189"/>
      <c r="J109" s="189"/>
      <c r="K109" s="189"/>
      <c r="L109" s="189"/>
      <c r="M109" s="189" t="s">
        <v>354</v>
      </c>
      <c r="N109" s="189"/>
      <c r="O109" s="189"/>
      <c r="P109" s="189"/>
      <c r="Q109" s="189"/>
      <c r="R109" s="205"/>
      <c r="S109" s="205"/>
      <c r="T109" s="205"/>
      <c r="U109" s="205"/>
      <c r="V109" s="205"/>
      <c r="W109" s="205" t="s">
        <v>355</v>
      </c>
      <c r="X109" s="70"/>
      <c r="Y109" s="70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</row>
    <row r="110" spans="1:35" s="28" customFormat="1" ht="20.100000000000001" customHeight="1">
      <c r="A110" s="342"/>
      <c r="B110" s="328"/>
      <c r="C110" s="120">
        <v>2</v>
      </c>
      <c r="D110" s="121" t="s">
        <v>146</v>
      </c>
      <c r="E110" s="189" t="s">
        <v>352</v>
      </c>
      <c r="F110" s="189"/>
      <c r="G110" s="189"/>
      <c r="H110" s="189" t="s">
        <v>353</v>
      </c>
      <c r="I110" s="189"/>
      <c r="J110" s="271" t="s">
        <v>356</v>
      </c>
      <c r="K110" s="189"/>
      <c r="L110" s="189"/>
      <c r="M110" s="189" t="s">
        <v>354</v>
      </c>
      <c r="N110" s="189"/>
      <c r="O110" s="189"/>
      <c r="P110" s="189"/>
      <c r="Q110" s="189"/>
      <c r="R110" s="205"/>
      <c r="S110" s="205"/>
      <c r="T110" s="205"/>
      <c r="U110" s="205" t="s">
        <v>357</v>
      </c>
      <c r="V110" s="205" t="s">
        <v>357</v>
      </c>
      <c r="W110" s="205" t="s">
        <v>355</v>
      </c>
      <c r="X110" s="70"/>
      <c r="Y110" s="70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</row>
    <row r="111" spans="1:35" s="28" customFormat="1" ht="20.100000000000001" customHeight="1">
      <c r="A111" s="342"/>
      <c r="B111" s="328"/>
      <c r="C111" s="120">
        <v>3</v>
      </c>
      <c r="D111" s="121" t="s">
        <v>149</v>
      </c>
      <c r="E111" s="189" t="s">
        <v>352</v>
      </c>
      <c r="F111" s="189"/>
      <c r="G111" s="189"/>
      <c r="H111" s="189" t="s">
        <v>353</v>
      </c>
      <c r="I111" s="189"/>
      <c r="J111" s="271" t="s">
        <v>358</v>
      </c>
      <c r="K111" s="189"/>
      <c r="L111" s="189"/>
      <c r="M111" s="237" t="s">
        <v>354</v>
      </c>
      <c r="N111" s="189"/>
      <c r="O111" s="189"/>
      <c r="P111" s="189"/>
      <c r="Q111" s="189"/>
      <c r="R111" s="205"/>
      <c r="S111" s="205"/>
      <c r="T111" s="205"/>
      <c r="U111" s="205" t="s">
        <v>357</v>
      </c>
      <c r="V111" s="205" t="s">
        <v>357</v>
      </c>
      <c r="W111" s="205"/>
      <c r="X111" s="70"/>
      <c r="Y111" s="70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</row>
    <row r="112" spans="1:35" s="28" customFormat="1" ht="20.100000000000001" customHeight="1">
      <c r="A112" s="342"/>
      <c r="B112" s="328"/>
      <c r="C112" s="120">
        <v>4</v>
      </c>
      <c r="D112" s="121" t="s">
        <v>152</v>
      </c>
      <c r="E112" s="189"/>
      <c r="F112" s="189" t="s">
        <v>359</v>
      </c>
      <c r="G112" s="189"/>
      <c r="H112" s="255" t="s">
        <v>360</v>
      </c>
      <c r="I112" s="70" t="s">
        <v>361</v>
      </c>
      <c r="J112" s="189" t="s">
        <v>362</v>
      </c>
      <c r="K112" s="189"/>
      <c r="L112" s="205" t="s">
        <v>363</v>
      </c>
      <c r="M112" s="70" t="s">
        <v>351</v>
      </c>
      <c r="N112" s="201"/>
      <c r="O112" s="189"/>
      <c r="P112" s="189"/>
      <c r="Q112" s="189"/>
      <c r="R112" s="205"/>
      <c r="S112" s="205"/>
      <c r="T112" s="205" t="s">
        <v>364</v>
      </c>
      <c r="U112" s="205"/>
      <c r="V112" s="205"/>
      <c r="W112" s="205"/>
      <c r="X112" s="70"/>
      <c r="Y112" s="70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</row>
    <row r="113" spans="1:35" s="28" customFormat="1" ht="20.100000000000001" customHeight="1">
      <c r="A113" s="342"/>
      <c r="B113" s="328"/>
      <c r="C113" s="120">
        <v>5</v>
      </c>
      <c r="D113" s="121" t="s">
        <v>162</v>
      </c>
      <c r="E113" s="189" t="s">
        <v>234</v>
      </c>
      <c r="F113" s="189" t="s">
        <v>359</v>
      </c>
      <c r="G113" s="189"/>
      <c r="H113" s="205" t="s">
        <v>360</v>
      </c>
      <c r="I113" s="70" t="s">
        <v>361</v>
      </c>
      <c r="J113" s="189" t="s">
        <v>362</v>
      </c>
      <c r="K113" s="189"/>
      <c r="L113" s="205" t="s">
        <v>363</v>
      </c>
      <c r="M113" s="70" t="s">
        <v>351</v>
      </c>
      <c r="N113" s="201"/>
      <c r="O113" s="189"/>
      <c r="P113" s="189"/>
      <c r="Q113" s="189"/>
      <c r="R113" s="189"/>
      <c r="S113" s="205"/>
      <c r="T113" s="205" t="s">
        <v>364</v>
      </c>
      <c r="U113" s="205" t="s">
        <v>365</v>
      </c>
      <c r="V113" s="205" t="s">
        <v>365</v>
      </c>
      <c r="W113" s="205"/>
      <c r="X113" s="70"/>
      <c r="Y113" s="70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</row>
    <row r="114" spans="1:35" s="28" customFormat="1" ht="20.100000000000001" customHeight="1">
      <c r="A114" s="342"/>
      <c r="B114" s="328"/>
      <c r="C114" s="120">
        <v>6</v>
      </c>
      <c r="D114" s="121" t="s">
        <v>164</v>
      </c>
      <c r="E114" s="189" t="s">
        <v>234</v>
      </c>
      <c r="F114" s="189" t="s">
        <v>359</v>
      </c>
      <c r="G114" s="189"/>
      <c r="H114" s="205" t="s">
        <v>360</v>
      </c>
      <c r="I114" s="70" t="s">
        <v>361</v>
      </c>
      <c r="J114" s="201"/>
      <c r="K114" s="189"/>
      <c r="L114" s="189" t="s">
        <v>363</v>
      </c>
      <c r="N114" s="189"/>
      <c r="O114" s="189"/>
      <c r="P114" s="189"/>
      <c r="Q114" s="189"/>
      <c r="R114" s="189"/>
      <c r="S114" s="205"/>
      <c r="T114" s="205"/>
      <c r="U114" s="205" t="s">
        <v>365</v>
      </c>
      <c r="V114" s="205" t="s">
        <v>365</v>
      </c>
      <c r="W114" s="205"/>
      <c r="X114" s="70"/>
      <c r="Y114" s="70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</row>
    <row r="115" spans="1:35" s="28" customFormat="1" ht="20.100000000000001" customHeight="1">
      <c r="A115" s="342"/>
      <c r="B115" s="328"/>
      <c r="C115" s="120">
        <v>7</v>
      </c>
      <c r="D115" s="121" t="s">
        <v>165</v>
      </c>
      <c r="E115" s="189" t="s">
        <v>234</v>
      </c>
      <c r="F115" s="294" t="s">
        <v>366</v>
      </c>
      <c r="G115" s="189"/>
      <c r="H115" s="189" t="s">
        <v>367</v>
      </c>
      <c r="I115" s="207" t="s">
        <v>368</v>
      </c>
      <c r="J115" s="189"/>
      <c r="K115" s="189"/>
      <c r="L115" s="189" t="s">
        <v>363</v>
      </c>
      <c r="M115" s="189"/>
      <c r="N115" s="189"/>
      <c r="O115" s="189"/>
      <c r="P115" s="189"/>
      <c r="Q115" s="189"/>
      <c r="R115" s="189"/>
      <c r="S115" s="205"/>
      <c r="T115" s="205" t="s">
        <v>369</v>
      </c>
      <c r="U115" s="205" t="s">
        <v>370</v>
      </c>
      <c r="V115" s="205" t="s">
        <v>371</v>
      </c>
      <c r="W115" s="205"/>
      <c r="X115" s="70"/>
      <c r="Y115" s="70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</row>
    <row r="116" spans="1:35" s="28" customFormat="1" ht="20.100000000000001" customHeight="1">
      <c r="A116" s="342"/>
      <c r="B116" s="328"/>
      <c r="C116" s="120">
        <v>8</v>
      </c>
      <c r="D116" s="121" t="s">
        <v>169</v>
      </c>
      <c r="E116" s="189"/>
      <c r="F116" s="295" t="s">
        <v>366</v>
      </c>
      <c r="G116" s="189"/>
      <c r="H116" s="189" t="s">
        <v>367</v>
      </c>
      <c r="I116" s="207" t="s">
        <v>368</v>
      </c>
      <c r="J116" s="189"/>
      <c r="K116" s="189"/>
      <c r="L116" s="189"/>
      <c r="M116" s="189"/>
      <c r="N116" s="189"/>
      <c r="O116" s="189"/>
      <c r="P116" s="189"/>
      <c r="Q116" s="189"/>
      <c r="R116" s="189"/>
      <c r="S116" s="205"/>
      <c r="T116" s="205" t="s">
        <v>369</v>
      </c>
      <c r="U116" s="205" t="s">
        <v>370</v>
      </c>
      <c r="V116" s="205" t="s">
        <v>371</v>
      </c>
      <c r="W116" s="205"/>
      <c r="X116" s="70"/>
      <c r="Y116" s="70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</row>
    <row r="117" spans="1:35" s="28" customFormat="1">
      <c r="A117" s="342"/>
      <c r="B117" s="328"/>
      <c r="C117" s="120">
        <v>9</v>
      </c>
      <c r="D117" s="121" t="s">
        <v>172</v>
      </c>
      <c r="E117" s="189"/>
      <c r="F117" s="295" t="s">
        <v>366</v>
      </c>
      <c r="G117" s="189"/>
      <c r="H117" s="189" t="s">
        <v>367</v>
      </c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205"/>
      <c r="T117" s="205" t="s">
        <v>369</v>
      </c>
      <c r="U117" s="205" t="s">
        <v>370</v>
      </c>
      <c r="V117" s="205"/>
      <c r="W117" s="205"/>
      <c r="X117" s="70"/>
      <c r="Y117" s="70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</row>
    <row r="118" spans="1:35" s="28" customFormat="1" ht="24">
      <c r="A118" s="342"/>
      <c r="B118" s="328"/>
      <c r="C118" s="120">
        <v>10</v>
      </c>
      <c r="D118" s="121" t="s">
        <v>174</v>
      </c>
      <c r="E118" s="189"/>
      <c r="F118" s="189"/>
      <c r="G118" s="189"/>
      <c r="H118" s="189"/>
      <c r="I118" s="189"/>
      <c r="J118" s="189"/>
      <c r="K118" s="189"/>
      <c r="L118" s="189" t="s">
        <v>372</v>
      </c>
      <c r="M118" s="189"/>
      <c r="N118" s="189"/>
      <c r="O118" s="189"/>
      <c r="P118" s="189"/>
      <c r="Q118" s="189"/>
      <c r="R118" s="189"/>
      <c r="S118" s="205"/>
      <c r="T118" s="205"/>
      <c r="U118" s="205"/>
      <c r="V118" s="205"/>
      <c r="W118" s="205"/>
      <c r="X118" s="70"/>
      <c r="Y118" s="70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</row>
    <row r="119" spans="1:35" s="28" customFormat="1" ht="24">
      <c r="A119" s="342"/>
      <c r="B119" s="328"/>
      <c r="C119" s="120">
        <v>11</v>
      </c>
      <c r="D119" s="121" t="s">
        <v>177</v>
      </c>
      <c r="E119" s="189"/>
      <c r="F119" s="189"/>
      <c r="G119" s="189"/>
      <c r="H119" s="189"/>
      <c r="I119" s="189"/>
      <c r="J119" s="189"/>
      <c r="K119" s="189"/>
      <c r="L119" s="189" t="s">
        <v>372</v>
      </c>
      <c r="M119" s="189"/>
      <c r="N119" s="189"/>
      <c r="O119" s="189"/>
      <c r="P119" s="189"/>
      <c r="Q119" s="189"/>
      <c r="R119" s="189"/>
      <c r="S119" s="205"/>
      <c r="T119" s="205"/>
      <c r="U119" s="205"/>
      <c r="V119" s="205"/>
      <c r="W119" s="205"/>
      <c r="X119" s="70"/>
      <c r="Y119" s="70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</row>
    <row r="120" spans="1:35" s="28" customFormat="1" ht="24">
      <c r="A120" s="342"/>
      <c r="B120" s="329"/>
      <c r="C120" s="120">
        <v>12</v>
      </c>
      <c r="D120" s="121" t="s">
        <v>178</v>
      </c>
      <c r="E120" s="189"/>
      <c r="F120" s="189"/>
      <c r="G120" s="189"/>
      <c r="H120" s="189"/>
      <c r="I120" s="189"/>
      <c r="J120" s="189"/>
      <c r="K120" s="189"/>
      <c r="L120" s="189" t="s">
        <v>372</v>
      </c>
      <c r="M120" s="189"/>
      <c r="N120" s="189"/>
      <c r="O120" s="189"/>
      <c r="P120" s="189"/>
      <c r="Q120" s="189"/>
      <c r="R120" s="189"/>
      <c r="S120" s="205"/>
      <c r="T120" s="205"/>
      <c r="U120" s="205"/>
      <c r="V120" s="205"/>
      <c r="W120" s="205"/>
      <c r="X120" s="70"/>
      <c r="Y120" s="70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</row>
    <row r="121" spans="1:35" ht="24">
      <c r="A121" s="342"/>
      <c r="B121" s="330" t="s">
        <v>244</v>
      </c>
      <c r="C121" s="122">
        <v>1</v>
      </c>
      <c r="D121" s="132" t="s">
        <v>138</v>
      </c>
      <c r="E121" s="214"/>
      <c r="F121" s="214"/>
      <c r="G121" s="214"/>
      <c r="H121" s="71" t="s">
        <v>373</v>
      </c>
      <c r="I121" s="214"/>
      <c r="J121" s="257" t="s">
        <v>374</v>
      </c>
      <c r="K121" s="257"/>
      <c r="L121" s="214" t="s">
        <v>375</v>
      </c>
      <c r="M121" s="257" t="s">
        <v>376</v>
      </c>
      <c r="N121" s="257"/>
      <c r="O121" s="257"/>
      <c r="P121" s="257"/>
      <c r="Q121" s="257"/>
      <c r="R121" s="257"/>
      <c r="S121" s="71"/>
      <c r="T121" s="71"/>
      <c r="U121" s="71" t="s">
        <v>345</v>
      </c>
      <c r="V121" s="237" t="s">
        <v>377</v>
      </c>
      <c r="W121" s="71" t="s">
        <v>378</v>
      </c>
      <c r="X121" s="214"/>
      <c r="Y121" s="214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</row>
    <row r="122" spans="1:35" ht="24">
      <c r="A122" s="342"/>
      <c r="B122" s="331"/>
      <c r="C122" s="122">
        <v>2</v>
      </c>
      <c r="D122" s="132" t="s">
        <v>146</v>
      </c>
      <c r="E122" s="214"/>
      <c r="F122" s="214"/>
      <c r="G122" s="214"/>
      <c r="H122" s="71" t="s">
        <v>373</v>
      </c>
      <c r="I122" s="214"/>
      <c r="J122" s="257" t="s">
        <v>374</v>
      </c>
      <c r="K122" s="257"/>
      <c r="L122" s="214" t="s">
        <v>375</v>
      </c>
      <c r="M122" s="257" t="s">
        <v>376</v>
      </c>
      <c r="N122" s="257"/>
      <c r="O122" s="257"/>
      <c r="P122" s="257"/>
      <c r="Q122" s="257"/>
      <c r="R122" s="257"/>
      <c r="S122" s="71"/>
      <c r="T122" s="71" t="s">
        <v>379</v>
      </c>
      <c r="U122" s="71" t="s">
        <v>345</v>
      </c>
      <c r="V122" s="237" t="s">
        <v>377</v>
      </c>
      <c r="W122" s="71" t="s">
        <v>378</v>
      </c>
      <c r="X122" s="214"/>
      <c r="Y122" s="214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</row>
    <row r="123" spans="1:35" ht="24">
      <c r="A123" s="342"/>
      <c r="B123" s="331"/>
      <c r="C123" s="122">
        <v>3</v>
      </c>
      <c r="D123" s="132" t="s">
        <v>149</v>
      </c>
      <c r="E123" s="214"/>
      <c r="F123" s="214"/>
      <c r="G123" s="214"/>
      <c r="H123" s="71" t="s">
        <v>373</v>
      </c>
      <c r="I123" s="214" t="s">
        <v>380</v>
      </c>
      <c r="J123" s="257" t="s">
        <v>374</v>
      </c>
      <c r="K123" s="257"/>
      <c r="L123" s="214" t="s">
        <v>375</v>
      </c>
      <c r="M123" s="257" t="s">
        <v>376</v>
      </c>
      <c r="N123" s="257"/>
      <c r="O123" s="257"/>
      <c r="P123" s="257"/>
      <c r="Q123" s="257"/>
      <c r="R123" s="257"/>
      <c r="S123" s="71"/>
      <c r="T123" s="71" t="s">
        <v>381</v>
      </c>
      <c r="U123" s="71"/>
      <c r="V123" s="237" t="s">
        <v>377</v>
      </c>
      <c r="W123" s="71"/>
      <c r="X123" s="214"/>
      <c r="Y123" s="214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</row>
    <row r="124" spans="1:35" ht="18.95" customHeight="1">
      <c r="A124" s="342"/>
      <c r="B124" s="331"/>
      <c r="C124" s="122">
        <v>4</v>
      </c>
      <c r="D124" s="132" t="s">
        <v>152</v>
      </c>
      <c r="E124" s="214"/>
      <c r="F124" s="214"/>
      <c r="G124" s="242"/>
      <c r="H124" s="207" t="s">
        <v>382</v>
      </c>
      <c r="I124" s="214" t="s">
        <v>380</v>
      </c>
      <c r="J124" s="257" t="s">
        <v>383</v>
      </c>
      <c r="K124" s="257"/>
      <c r="L124" s="214" t="s">
        <v>384</v>
      </c>
      <c r="M124" s="189" t="s">
        <v>385</v>
      </c>
      <c r="N124" s="257"/>
      <c r="O124" s="257"/>
      <c r="P124" s="257"/>
      <c r="Q124" s="257"/>
      <c r="R124" s="257"/>
      <c r="S124" s="71"/>
      <c r="T124" s="71" t="s">
        <v>386</v>
      </c>
      <c r="U124" s="71"/>
      <c r="W124" s="71"/>
      <c r="X124" s="214"/>
      <c r="Y124" s="214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</row>
    <row r="125" spans="1:35" ht="18.95" customHeight="1">
      <c r="A125" s="342"/>
      <c r="B125" s="331"/>
      <c r="C125" s="122">
        <v>5</v>
      </c>
      <c r="D125" s="132" t="s">
        <v>162</v>
      </c>
      <c r="E125" s="214" t="s">
        <v>387</v>
      </c>
      <c r="F125" s="214"/>
      <c r="G125" s="242"/>
      <c r="H125" s="207" t="s">
        <v>382</v>
      </c>
      <c r="I125" s="214" t="s">
        <v>380</v>
      </c>
      <c r="J125" s="257" t="s">
        <v>383</v>
      </c>
      <c r="K125" s="257"/>
      <c r="L125" s="214" t="s">
        <v>384</v>
      </c>
      <c r="M125" s="189" t="s">
        <v>385</v>
      </c>
      <c r="N125" s="257"/>
      <c r="O125" s="257"/>
      <c r="P125" s="257"/>
      <c r="Q125" s="257"/>
      <c r="R125" s="257"/>
      <c r="S125" s="71"/>
      <c r="T125" s="71" t="s">
        <v>386</v>
      </c>
      <c r="U125" s="71" t="s">
        <v>357</v>
      </c>
      <c r="V125" s="71" t="s">
        <v>357</v>
      </c>
      <c r="W125" s="71"/>
      <c r="X125" s="214"/>
      <c r="Y125" s="214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</row>
    <row r="126" spans="1:35" ht="18.95" customHeight="1">
      <c r="A126" s="342"/>
      <c r="B126" s="331"/>
      <c r="C126" s="122">
        <v>6</v>
      </c>
      <c r="D126" s="132" t="s">
        <v>164</v>
      </c>
      <c r="E126" s="214" t="s">
        <v>387</v>
      </c>
      <c r="F126" s="214" t="s">
        <v>388</v>
      </c>
      <c r="G126" s="242"/>
      <c r="H126" s="207" t="s">
        <v>382</v>
      </c>
      <c r="I126" s="257"/>
      <c r="J126" s="257" t="s">
        <v>383</v>
      </c>
      <c r="K126" s="257"/>
      <c r="L126" s="71" t="s">
        <v>384</v>
      </c>
      <c r="M126" s="189" t="s">
        <v>385</v>
      </c>
      <c r="N126" s="257"/>
      <c r="O126" s="257"/>
      <c r="P126" s="257"/>
      <c r="Q126" s="257"/>
      <c r="R126" s="257"/>
      <c r="S126" s="71"/>
      <c r="T126" s="71"/>
      <c r="U126" s="71" t="s">
        <v>357</v>
      </c>
      <c r="V126" s="71" t="s">
        <v>357</v>
      </c>
      <c r="W126" s="71"/>
      <c r="X126" s="214"/>
      <c r="Y126" s="214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</row>
    <row r="127" spans="1:35">
      <c r="A127" s="342"/>
      <c r="B127" s="331"/>
      <c r="C127" s="122">
        <v>7</v>
      </c>
      <c r="D127" s="132" t="s">
        <v>165</v>
      </c>
      <c r="E127" s="214" t="s">
        <v>389</v>
      </c>
      <c r="F127" s="214" t="s">
        <v>388</v>
      </c>
      <c r="G127" s="322"/>
      <c r="H127" s="71"/>
      <c r="I127" s="257" t="s">
        <v>390</v>
      </c>
      <c r="J127" s="257"/>
      <c r="K127" s="257"/>
      <c r="L127" s="214" t="s">
        <v>391</v>
      </c>
      <c r="M127" s="60" t="s">
        <v>391</v>
      </c>
      <c r="N127" s="257"/>
      <c r="O127" s="257"/>
      <c r="P127" s="257"/>
      <c r="Q127" s="257"/>
      <c r="R127" s="257"/>
      <c r="S127" s="71"/>
      <c r="T127" s="71"/>
      <c r="U127" s="71" t="s">
        <v>392</v>
      </c>
      <c r="V127" s="71" t="s">
        <v>392</v>
      </c>
      <c r="W127" s="71" t="s">
        <v>393</v>
      </c>
      <c r="X127" s="214"/>
      <c r="Y127" s="214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</row>
    <row r="128" spans="1:35">
      <c r="A128" s="342"/>
      <c r="B128" s="331"/>
      <c r="C128" s="122">
        <v>8</v>
      </c>
      <c r="D128" s="132" t="s">
        <v>169</v>
      </c>
      <c r="E128" s="214" t="s">
        <v>389</v>
      </c>
      <c r="F128" s="214" t="s">
        <v>388</v>
      </c>
      <c r="G128" s="242"/>
      <c r="H128" s="71"/>
      <c r="I128" s="257" t="s">
        <v>390</v>
      </c>
      <c r="J128" s="257"/>
      <c r="K128" s="257"/>
      <c r="L128" s="214" t="s">
        <v>391</v>
      </c>
      <c r="M128" s="60" t="s">
        <v>391</v>
      </c>
      <c r="N128" s="257"/>
      <c r="O128" s="257"/>
      <c r="P128" s="257"/>
      <c r="Q128" s="257"/>
      <c r="R128" s="257"/>
      <c r="S128" s="71"/>
      <c r="T128" s="71"/>
      <c r="U128" s="71" t="s">
        <v>394</v>
      </c>
      <c r="V128" s="71" t="s">
        <v>394</v>
      </c>
      <c r="W128" s="71" t="s">
        <v>393</v>
      </c>
      <c r="X128" s="214"/>
      <c r="Y128" s="214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</row>
    <row r="129" spans="1:35">
      <c r="A129" s="342"/>
      <c r="B129" s="331"/>
      <c r="C129" s="122">
        <v>9</v>
      </c>
      <c r="D129" s="132" t="s">
        <v>172</v>
      </c>
      <c r="E129" s="214"/>
      <c r="F129" s="214"/>
      <c r="G129" s="214"/>
      <c r="H129" s="71"/>
      <c r="I129" s="257" t="s">
        <v>390</v>
      </c>
      <c r="J129" s="257"/>
      <c r="K129" s="257"/>
      <c r="L129" s="214" t="s">
        <v>391</v>
      </c>
      <c r="M129" s="60" t="s">
        <v>391</v>
      </c>
      <c r="N129" s="257"/>
      <c r="O129" s="257"/>
      <c r="P129" s="257"/>
      <c r="Q129" s="257"/>
      <c r="R129" s="257"/>
      <c r="S129" s="71"/>
      <c r="T129" s="71"/>
      <c r="U129" s="71"/>
      <c r="V129" s="71"/>
      <c r="W129" s="71"/>
      <c r="X129" s="214"/>
      <c r="Y129" s="214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</row>
    <row r="130" spans="1:35">
      <c r="A130" s="342"/>
      <c r="B130" s="331"/>
      <c r="C130" s="122">
        <v>10</v>
      </c>
      <c r="D130" s="132" t="s">
        <v>174</v>
      </c>
      <c r="E130" s="214"/>
      <c r="F130" s="214"/>
      <c r="G130" s="214"/>
      <c r="H130" s="71"/>
      <c r="I130" s="214"/>
      <c r="J130" s="257"/>
      <c r="K130" s="257"/>
      <c r="L130" s="214"/>
      <c r="M130" s="257"/>
      <c r="N130" s="257"/>
      <c r="O130" s="257"/>
      <c r="P130" s="257"/>
      <c r="Q130" s="257"/>
      <c r="R130" s="258"/>
      <c r="S130" s="187"/>
      <c r="T130" s="187"/>
      <c r="U130" s="187"/>
      <c r="V130" s="71"/>
      <c r="W130" s="187"/>
      <c r="X130" s="214"/>
      <c r="Y130" s="214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</row>
    <row r="131" spans="1:35">
      <c r="A131" s="342"/>
      <c r="B131" s="331"/>
      <c r="C131" s="122">
        <v>11</v>
      </c>
      <c r="D131" s="132" t="s">
        <v>211</v>
      </c>
      <c r="E131" s="214"/>
      <c r="F131" s="214"/>
      <c r="G131" s="214"/>
      <c r="H131" s="71"/>
      <c r="I131" s="214"/>
      <c r="J131" s="257"/>
      <c r="K131" s="257"/>
      <c r="L131" s="214"/>
      <c r="M131" s="257"/>
      <c r="N131" s="257"/>
      <c r="O131" s="257"/>
      <c r="P131" s="257"/>
      <c r="Q131" s="257"/>
      <c r="R131" s="258"/>
      <c r="S131" s="187"/>
      <c r="T131" s="187"/>
      <c r="U131" s="187"/>
      <c r="V131" s="71"/>
      <c r="W131" s="187"/>
      <c r="X131" s="214"/>
      <c r="Y131" s="214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</row>
    <row r="132" spans="1:35">
      <c r="A132" s="342"/>
      <c r="B132" s="332"/>
      <c r="C132" s="122">
        <v>12</v>
      </c>
      <c r="D132" s="132" t="s">
        <v>178</v>
      </c>
      <c r="E132" s="214"/>
      <c r="F132" s="214"/>
      <c r="G132" s="214"/>
      <c r="H132" s="71"/>
      <c r="I132" s="214"/>
      <c r="J132" s="257"/>
      <c r="K132" s="257"/>
      <c r="L132" s="214"/>
      <c r="M132" s="257"/>
      <c r="N132" s="257"/>
      <c r="O132" s="257"/>
      <c r="P132" s="257"/>
      <c r="Q132" s="257"/>
      <c r="R132" s="258"/>
      <c r="S132" s="187"/>
      <c r="T132" s="187"/>
      <c r="U132" s="187"/>
      <c r="V132" s="71"/>
      <c r="W132" s="187"/>
      <c r="X132" s="214"/>
      <c r="Y132" s="214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</row>
    <row r="133" spans="1:35" s="28" customFormat="1" ht="24">
      <c r="A133" s="342"/>
      <c r="B133" s="327" t="s">
        <v>279</v>
      </c>
      <c r="C133" s="120">
        <v>1</v>
      </c>
      <c r="D133" s="121" t="s">
        <v>138</v>
      </c>
      <c r="E133" s="70"/>
      <c r="F133" s="70"/>
      <c r="G133" s="70"/>
      <c r="H133" s="207" t="s">
        <v>395</v>
      </c>
      <c r="I133" s="207"/>
      <c r="J133" s="207" t="s">
        <v>396</v>
      </c>
      <c r="K133" s="207"/>
      <c r="L133" s="207" t="s">
        <v>397</v>
      </c>
      <c r="M133" s="207" t="s">
        <v>398</v>
      </c>
      <c r="N133" s="207"/>
      <c r="O133" s="207"/>
      <c r="P133" s="70"/>
      <c r="Q133" s="189"/>
      <c r="R133" s="228"/>
      <c r="S133" s="228"/>
      <c r="T133" s="228"/>
      <c r="U133" s="228" t="s">
        <v>365</v>
      </c>
      <c r="V133" s="228" t="s">
        <v>365</v>
      </c>
      <c r="W133" s="228" t="s">
        <v>399</v>
      </c>
      <c r="X133" s="70"/>
      <c r="Y133" s="70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</row>
    <row r="134" spans="1:35" s="28" customFormat="1" ht="24">
      <c r="A134" s="342"/>
      <c r="B134" s="328"/>
      <c r="C134" s="120">
        <v>2</v>
      </c>
      <c r="D134" s="121" t="s">
        <v>146</v>
      </c>
      <c r="E134" s="70"/>
      <c r="F134" s="70"/>
      <c r="G134" s="70"/>
      <c r="H134" s="207" t="s">
        <v>395</v>
      </c>
      <c r="I134" s="207" t="s">
        <v>400</v>
      </c>
      <c r="J134" s="207" t="s">
        <v>396</v>
      </c>
      <c r="K134" s="207"/>
      <c r="L134" s="207" t="s">
        <v>397</v>
      </c>
      <c r="M134" s="207" t="s">
        <v>398</v>
      </c>
      <c r="N134" s="207"/>
      <c r="O134" s="207"/>
      <c r="P134" s="70"/>
      <c r="Q134" s="189"/>
      <c r="R134" s="228"/>
      <c r="S134" s="228"/>
      <c r="T134" s="228" t="s">
        <v>401</v>
      </c>
      <c r="U134" s="228" t="s">
        <v>365</v>
      </c>
      <c r="V134" s="228" t="s">
        <v>365</v>
      </c>
      <c r="W134" s="228" t="s">
        <v>399</v>
      </c>
      <c r="X134" s="70"/>
      <c r="Y134" s="70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</row>
    <row r="135" spans="1:35" s="28" customFormat="1" ht="24">
      <c r="A135" s="342"/>
      <c r="B135" s="328"/>
      <c r="C135" s="120">
        <v>3</v>
      </c>
      <c r="D135" s="121" t="s">
        <v>149</v>
      </c>
      <c r="E135" s="70"/>
      <c r="F135" s="70"/>
      <c r="G135" s="70"/>
      <c r="H135" s="207" t="s">
        <v>395</v>
      </c>
      <c r="I135" s="207" t="s">
        <v>400</v>
      </c>
      <c r="J135" s="207" t="s">
        <v>396</v>
      </c>
      <c r="K135" s="207"/>
      <c r="L135" s="207" t="s">
        <v>397</v>
      </c>
      <c r="M135" s="207" t="s">
        <v>398</v>
      </c>
      <c r="N135" s="207"/>
      <c r="O135" s="207"/>
      <c r="P135" s="70"/>
      <c r="Q135" s="189"/>
      <c r="R135" s="228"/>
      <c r="S135" s="228"/>
      <c r="T135" s="228" t="s">
        <v>401</v>
      </c>
      <c r="U135" s="228"/>
      <c r="V135" s="228"/>
      <c r="W135" s="228"/>
      <c r="X135" s="70"/>
      <c r="Y135" s="70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</row>
    <row r="136" spans="1:35" s="28" customFormat="1">
      <c r="A136" s="342"/>
      <c r="B136" s="328"/>
      <c r="C136" s="120">
        <v>4</v>
      </c>
      <c r="D136" s="121" t="s">
        <v>152</v>
      </c>
      <c r="E136" s="70"/>
      <c r="F136" s="70"/>
      <c r="G136" s="70"/>
      <c r="H136" s="203"/>
      <c r="I136" s="207"/>
      <c r="J136" s="207"/>
      <c r="K136" s="207"/>
      <c r="L136" s="207" t="s">
        <v>397</v>
      </c>
      <c r="M136" s="207"/>
      <c r="N136" s="207"/>
      <c r="O136" s="207"/>
      <c r="P136" s="70"/>
      <c r="Q136" s="189"/>
      <c r="R136" s="70"/>
      <c r="S136" s="228"/>
      <c r="T136" s="228"/>
      <c r="U136" s="228"/>
      <c r="V136" s="228"/>
      <c r="W136" s="228"/>
      <c r="X136" s="70"/>
      <c r="Y136" s="70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</row>
    <row r="137" spans="1:35" s="28" customFormat="1">
      <c r="A137" s="342"/>
      <c r="B137" s="328"/>
      <c r="C137" s="120">
        <v>5</v>
      </c>
      <c r="D137" s="121" t="s">
        <v>162</v>
      </c>
      <c r="E137" s="70"/>
      <c r="F137" s="70"/>
      <c r="G137" s="70"/>
      <c r="H137" s="203"/>
      <c r="I137" s="207"/>
      <c r="J137" s="207"/>
      <c r="K137" s="207"/>
      <c r="L137" s="207"/>
      <c r="M137" s="207"/>
      <c r="N137" s="207"/>
      <c r="O137" s="207"/>
      <c r="P137" s="70"/>
      <c r="Q137" s="189"/>
      <c r="R137" s="70"/>
      <c r="S137" s="228"/>
      <c r="T137" s="228"/>
      <c r="U137" s="228"/>
      <c r="V137" s="228"/>
      <c r="W137" s="228"/>
      <c r="X137" s="70"/>
      <c r="Y137" s="70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</row>
    <row r="138" spans="1:35" s="28" customFormat="1">
      <c r="A138" s="342"/>
      <c r="B138" s="328"/>
      <c r="C138" s="120">
        <v>6</v>
      </c>
      <c r="D138" s="121" t="s">
        <v>164</v>
      </c>
      <c r="E138" s="70"/>
      <c r="F138" s="70"/>
      <c r="G138" s="70"/>
      <c r="H138" s="70" t="s">
        <v>402</v>
      </c>
      <c r="I138" s="207" t="s">
        <v>403</v>
      </c>
      <c r="J138" s="207"/>
      <c r="K138" s="207"/>
      <c r="L138" s="207" t="s">
        <v>397</v>
      </c>
      <c r="M138" s="207"/>
      <c r="N138" s="207"/>
      <c r="O138" s="207"/>
      <c r="P138" s="70"/>
      <c r="Q138" s="189"/>
      <c r="R138" s="70"/>
      <c r="S138" s="228"/>
      <c r="T138" s="228"/>
      <c r="U138" s="228"/>
      <c r="V138" s="228"/>
      <c r="W138" s="228"/>
      <c r="X138" s="70"/>
      <c r="Y138" s="70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</row>
    <row r="139" spans="1:35" s="28" customFormat="1">
      <c r="A139" s="342"/>
      <c r="B139" s="328"/>
      <c r="C139" s="120">
        <v>7</v>
      </c>
      <c r="D139" s="121" t="s">
        <v>165</v>
      </c>
      <c r="E139" s="70"/>
      <c r="F139" s="182"/>
      <c r="G139" s="182"/>
      <c r="H139" s="70" t="s">
        <v>404</v>
      </c>
      <c r="I139" s="259" t="s">
        <v>403</v>
      </c>
      <c r="J139" s="207"/>
      <c r="K139" s="207"/>
      <c r="L139" s="207" t="s">
        <v>397</v>
      </c>
      <c r="M139" s="207"/>
      <c r="N139" s="207"/>
      <c r="O139" s="207"/>
      <c r="P139" s="70"/>
      <c r="Q139" s="189"/>
      <c r="R139" s="70"/>
      <c r="S139" s="228"/>
      <c r="T139" s="228"/>
      <c r="U139" s="228" t="s">
        <v>392</v>
      </c>
      <c r="V139" s="228" t="s">
        <v>392</v>
      </c>
      <c r="W139" s="228"/>
      <c r="X139" s="70"/>
      <c r="Y139" s="70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</row>
    <row r="140" spans="1:35" s="28" customFormat="1">
      <c r="A140" s="342"/>
      <c r="B140" s="328"/>
      <c r="C140" s="120">
        <v>8</v>
      </c>
      <c r="D140" s="121" t="s">
        <v>169</v>
      </c>
      <c r="E140" s="228"/>
      <c r="F140" s="70"/>
      <c r="G140" s="70"/>
      <c r="H140" s="203"/>
      <c r="I140" s="207" t="s">
        <v>403</v>
      </c>
      <c r="J140" s="229"/>
      <c r="K140" s="207"/>
      <c r="L140" s="207" t="s">
        <v>397</v>
      </c>
      <c r="M140" s="207"/>
      <c r="N140" s="207"/>
      <c r="O140" s="207"/>
      <c r="P140" s="70"/>
      <c r="Q140" s="189"/>
      <c r="R140" s="70"/>
      <c r="S140" s="228"/>
      <c r="T140" s="228"/>
      <c r="U140" s="228" t="s">
        <v>392</v>
      </c>
      <c r="V140" s="228" t="s">
        <v>392</v>
      </c>
      <c r="W140" s="228"/>
      <c r="X140" s="70"/>
      <c r="Y140" s="70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</row>
    <row r="141" spans="1:35" s="28" customFormat="1">
      <c r="A141" s="343"/>
      <c r="B141" s="328"/>
      <c r="C141" s="120">
        <v>9</v>
      </c>
      <c r="D141" s="121" t="s">
        <v>172</v>
      </c>
      <c r="E141" s="228"/>
      <c r="F141" s="70"/>
      <c r="G141" s="70"/>
      <c r="H141" s="203"/>
      <c r="I141" s="207"/>
      <c r="J141" s="229"/>
      <c r="K141" s="207"/>
      <c r="L141" s="207" t="s">
        <v>397</v>
      </c>
      <c r="M141" s="207"/>
      <c r="N141" s="207"/>
      <c r="O141" s="207"/>
      <c r="P141" s="70"/>
      <c r="Q141" s="189"/>
      <c r="R141" s="70"/>
      <c r="S141" s="228"/>
      <c r="T141" s="228"/>
      <c r="U141" s="228"/>
      <c r="V141" s="228"/>
      <c r="W141" s="228"/>
      <c r="X141" s="70"/>
      <c r="Y141" s="70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</row>
    <row r="142" spans="1:35" s="28" customFormat="1">
      <c r="A142" s="2"/>
      <c r="B142" s="328"/>
      <c r="C142" s="120">
        <v>10</v>
      </c>
      <c r="D142" s="121" t="s">
        <v>174</v>
      </c>
      <c r="E142" s="70"/>
      <c r="F142" s="186"/>
      <c r="G142" s="186"/>
      <c r="H142" s="225"/>
      <c r="I142" s="245"/>
      <c r="J142" s="207"/>
      <c r="K142" s="207"/>
      <c r="L142" s="207"/>
      <c r="M142" s="207"/>
      <c r="N142" s="207"/>
      <c r="O142" s="207"/>
      <c r="P142" s="70"/>
      <c r="Q142" s="189"/>
      <c r="R142" s="70"/>
      <c r="S142" s="228"/>
      <c r="T142" s="228"/>
      <c r="U142" s="228"/>
      <c r="V142" s="228"/>
      <c r="W142" s="228"/>
      <c r="X142" s="70"/>
      <c r="Y142" s="70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</row>
    <row r="143" spans="1:35" s="28" customFormat="1">
      <c r="A143" s="2"/>
      <c r="B143" s="328"/>
      <c r="C143" s="120">
        <v>11</v>
      </c>
      <c r="D143" s="121" t="s">
        <v>177</v>
      </c>
      <c r="E143" s="70"/>
      <c r="F143" s="70"/>
      <c r="G143" s="70"/>
      <c r="H143" s="203"/>
      <c r="I143" s="207"/>
      <c r="J143" s="207"/>
      <c r="K143" s="207"/>
      <c r="L143" s="207"/>
      <c r="M143" s="207"/>
      <c r="N143" s="207"/>
      <c r="O143" s="207"/>
      <c r="P143" s="70"/>
      <c r="Q143" s="189"/>
      <c r="R143" s="70"/>
      <c r="S143" s="228"/>
      <c r="T143" s="228"/>
      <c r="U143" s="228"/>
      <c r="V143" s="228"/>
      <c r="W143" s="228"/>
      <c r="X143" s="70"/>
      <c r="Y143" s="70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</row>
    <row r="144" spans="1:35" s="28" customFormat="1">
      <c r="A144" s="2"/>
      <c r="B144" s="329"/>
      <c r="C144" s="120">
        <v>12</v>
      </c>
      <c r="D144" s="121" t="s">
        <v>178</v>
      </c>
      <c r="E144" s="70"/>
      <c r="F144" s="70"/>
      <c r="G144" s="70"/>
      <c r="H144" s="203"/>
      <c r="I144" s="207"/>
      <c r="J144" s="207"/>
      <c r="K144" s="207"/>
      <c r="L144" s="207"/>
      <c r="M144" s="207"/>
      <c r="N144" s="207"/>
      <c r="O144" s="207"/>
      <c r="P144" s="70"/>
      <c r="Q144" s="189"/>
      <c r="R144" s="70"/>
      <c r="S144" s="228"/>
      <c r="T144" s="228"/>
      <c r="U144" s="228"/>
      <c r="V144" s="228"/>
      <c r="W144" s="228"/>
      <c r="X144" s="70"/>
      <c r="Y144" s="70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</row>
    <row r="145" spans="1:48">
      <c r="A145" s="2"/>
      <c r="B145" s="330" t="s">
        <v>302</v>
      </c>
      <c r="C145" s="122">
        <v>1</v>
      </c>
      <c r="D145" s="132" t="s">
        <v>138</v>
      </c>
      <c r="E145" s="71"/>
      <c r="F145" s="71"/>
      <c r="G145" s="71"/>
      <c r="H145" s="71"/>
      <c r="I145" s="71"/>
      <c r="J145" s="251"/>
      <c r="K145" s="251"/>
      <c r="L145" s="71"/>
      <c r="M145" s="71"/>
      <c r="N145" s="71"/>
      <c r="O145" s="71"/>
      <c r="P145" s="251"/>
      <c r="Q145" s="168"/>
      <c r="R145" s="60"/>
      <c r="S145" s="174"/>
      <c r="T145" s="71"/>
      <c r="U145" s="71"/>
      <c r="V145" s="60"/>
      <c r="W145" s="157"/>
      <c r="X145" s="157"/>
      <c r="Y145" s="157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</row>
    <row r="146" spans="1:48">
      <c r="A146" s="2"/>
      <c r="B146" s="331"/>
      <c r="C146" s="122">
        <v>2</v>
      </c>
      <c r="D146" s="132" t="s">
        <v>146</v>
      </c>
      <c r="E146" s="71"/>
      <c r="F146" s="71"/>
      <c r="G146" s="71"/>
      <c r="H146" s="71"/>
      <c r="I146" s="71"/>
      <c r="J146" s="251"/>
      <c r="K146" s="251"/>
      <c r="L146" s="71"/>
      <c r="M146" s="71"/>
      <c r="N146" s="71"/>
      <c r="O146" s="71"/>
      <c r="P146" s="251"/>
      <c r="Q146" s="168"/>
      <c r="R146" s="60"/>
      <c r="S146" s="174"/>
      <c r="T146" s="71"/>
      <c r="U146" s="71"/>
      <c r="V146" s="60"/>
      <c r="W146" s="60"/>
      <c r="X146" s="157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</row>
    <row r="147" spans="1:48">
      <c r="A147" s="2"/>
      <c r="B147" s="331"/>
      <c r="C147" s="122">
        <v>3</v>
      </c>
      <c r="D147" s="132" t="s">
        <v>149</v>
      </c>
      <c r="E147" s="71"/>
      <c r="F147" s="71"/>
      <c r="G147" s="71"/>
      <c r="H147" s="71"/>
      <c r="I147" s="71"/>
      <c r="J147" s="251"/>
      <c r="K147" s="251"/>
      <c r="L147" s="71"/>
      <c r="M147" s="71"/>
      <c r="N147" s="71"/>
      <c r="O147" s="71"/>
      <c r="P147" s="251"/>
      <c r="Q147" s="168"/>
      <c r="R147" s="60"/>
      <c r="S147" s="174"/>
      <c r="T147" s="71"/>
      <c r="U147" s="71"/>
      <c r="V147" s="60"/>
      <c r="W147" s="60"/>
      <c r="X147" s="157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</row>
    <row r="148" spans="1:48">
      <c r="A148" s="2"/>
      <c r="B148" s="331"/>
      <c r="C148" s="122">
        <v>4</v>
      </c>
      <c r="D148" s="132" t="s">
        <v>152</v>
      </c>
      <c r="E148" s="71"/>
      <c r="F148" s="71"/>
      <c r="G148" s="71"/>
      <c r="H148" s="71"/>
      <c r="I148" s="71"/>
      <c r="J148" s="251"/>
      <c r="K148" s="251"/>
      <c r="L148" s="71"/>
      <c r="M148" s="71"/>
      <c r="N148" s="71"/>
      <c r="O148" s="71"/>
      <c r="P148" s="71"/>
      <c r="Q148" s="168"/>
      <c r="R148" s="60"/>
      <c r="S148" s="174"/>
      <c r="T148" s="71"/>
      <c r="U148" s="71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</row>
    <row r="149" spans="1:48">
      <c r="A149" s="2"/>
      <c r="B149" s="331"/>
      <c r="C149" s="122">
        <v>5</v>
      </c>
      <c r="D149" s="132" t="s">
        <v>162</v>
      </c>
      <c r="E149" s="71"/>
      <c r="F149" s="71"/>
      <c r="G149" s="71"/>
      <c r="H149" s="71"/>
      <c r="I149" s="71"/>
      <c r="J149" s="251"/>
      <c r="K149" s="251"/>
      <c r="L149" s="71"/>
      <c r="M149" s="71"/>
      <c r="N149" s="71"/>
      <c r="O149" s="71"/>
      <c r="P149" s="71"/>
      <c r="Q149" s="168"/>
      <c r="R149" s="60"/>
      <c r="S149" s="174"/>
      <c r="T149" s="71"/>
      <c r="U149" s="71"/>
      <c r="V149" s="60"/>
      <c r="W149" s="157"/>
      <c r="X149" s="60"/>
      <c r="Y149" s="157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</row>
    <row r="150" spans="1:48">
      <c r="A150" s="2"/>
      <c r="B150" s="331"/>
      <c r="C150" s="122">
        <v>6</v>
      </c>
      <c r="D150" s="132" t="s">
        <v>164</v>
      </c>
      <c r="E150" s="71"/>
      <c r="F150" s="71"/>
      <c r="G150" s="71"/>
      <c r="H150" s="71"/>
      <c r="I150" s="71"/>
      <c r="J150" s="251"/>
      <c r="K150" s="251"/>
      <c r="L150" s="71"/>
      <c r="M150" s="71"/>
      <c r="N150" s="71"/>
      <c r="O150" s="71"/>
      <c r="P150" s="71"/>
      <c r="Q150" s="168"/>
      <c r="R150" s="60"/>
      <c r="S150" s="174"/>
      <c r="T150" s="71"/>
      <c r="U150" s="71"/>
      <c r="V150" s="60"/>
      <c r="W150" s="157"/>
      <c r="X150" s="60"/>
      <c r="Y150" s="157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</row>
    <row r="151" spans="1:48">
      <c r="A151" s="2"/>
      <c r="B151" s="331"/>
      <c r="C151" s="122">
        <v>7</v>
      </c>
      <c r="D151" s="132" t="s">
        <v>165</v>
      </c>
      <c r="E151" s="71"/>
      <c r="F151" s="71"/>
      <c r="G151" s="71"/>
      <c r="H151" s="71"/>
      <c r="I151" s="71"/>
      <c r="J151" s="251"/>
      <c r="K151" s="251"/>
      <c r="L151" s="71"/>
      <c r="M151" s="71"/>
      <c r="N151" s="71"/>
      <c r="O151" s="71"/>
      <c r="P151" s="71"/>
      <c r="Q151" s="168"/>
      <c r="R151" s="60"/>
      <c r="S151" s="174"/>
      <c r="T151" s="71"/>
      <c r="U151" s="71"/>
      <c r="V151" s="60"/>
      <c r="W151" s="157"/>
      <c r="X151" s="60"/>
      <c r="Y151" s="157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</row>
    <row r="152" spans="1:48">
      <c r="A152" s="2"/>
      <c r="B152" s="331"/>
      <c r="C152" s="122">
        <v>8</v>
      </c>
      <c r="D152" s="132" t="s">
        <v>169</v>
      </c>
      <c r="E152" s="71"/>
      <c r="F152" s="71"/>
      <c r="G152" s="71"/>
      <c r="H152" s="71"/>
      <c r="I152" s="71"/>
      <c r="J152" s="251"/>
      <c r="K152" s="251"/>
      <c r="L152" s="71"/>
      <c r="M152" s="71"/>
      <c r="N152" s="71"/>
      <c r="O152" s="71"/>
      <c r="P152" s="71"/>
      <c r="Q152" s="168"/>
      <c r="R152" s="60"/>
      <c r="S152" s="174"/>
      <c r="T152" s="71"/>
      <c r="U152" s="71"/>
      <c r="V152" s="60"/>
      <c r="W152" s="157"/>
      <c r="X152" s="60"/>
      <c r="Y152" s="157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</row>
    <row r="153" spans="1:48">
      <c r="A153" s="2"/>
      <c r="B153" s="331"/>
      <c r="C153" s="122">
        <v>9</v>
      </c>
      <c r="D153" s="132" t="s">
        <v>172</v>
      </c>
      <c r="E153" s="71"/>
      <c r="F153" s="71"/>
      <c r="G153" s="71"/>
      <c r="H153" s="71"/>
      <c r="I153" s="71"/>
      <c r="J153" s="251"/>
      <c r="K153" s="251"/>
      <c r="L153" s="71"/>
      <c r="M153" s="71"/>
      <c r="N153" s="71"/>
      <c r="O153" s="71"/>
      <c r="P153" s="71"/>
      <c r="Q153" s="168"/>
      <c r="R153" s="60"/>
      <c r="S153" s="174"/>
      <c r="T153" s="71"/>
      <c r="U153" s="71"/>
      <c r="V153" s="60"/>
      <c r="W153" s="157"/>
      <c r="X153" s="157"/>
      <c r="Y153" s="157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</row>
    <row r="154" spans="1:48">
      <c r="A154" s="2"/>
      <c r="B154" s="331"/>
      <c r="C154" s="122">
        <v>10</v>
      </c>
      <c r="D154" s="132" t="s">
        <v>174</v>
      </c>
      <c r="E154" s="71"/>
      <c r="F154" s="71"/>
      <c r="G154" s="71"/>
      <c r="H154" s="71"/>
      <c r="I154" s="71"/>
      <c r="J154" s="251"/>
      <c r="K154" s="251"/>
      <c r="L154" s="71"/>
      <c r="M154" s="71"/>
      <c r="N154" s="71"/>
      <c r="O154" s="71"/>
      <c r="P154" s="71"/>
      <c r="Q154" s="168"/>
      <c r="R154" s="60"/>
      <c r="S154" s="174"/>
      <c r="T154" s="71"/>
      <c r="U154" s="71"/>
      <c r="V154" s="60"/>
      <c r="W154" s="157"/>
      <c r="X154" s="157"/>
      <c r="Y154" s="157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</row>
    <row r="155" spans="1:48">
      <c r="A155" s="2"/>
      <c r="B155" s="331"/>
      <c r="C155" s="122">
        <v>11</v>
      </c>
      <c r="D155" s="132" t="s">
        <v>211</v>
      </c>
      <c r="E155" s="71"/>
      <c r="F155" s="71"/>
      <c r="G155" s="71"/>
      <c r="H155" s="71"/>
      <c r="I155" s="71"/>
      <c r="J155" s="251"/>
      <c r="K155" s="251"/>
      <c r="L155" s="71"/>
      <c r="M155" s="71"/>
      <c r="N155" s="71"/>
      <c r="O155" s="71"/>
      <c r="P155" s="71"/>
      <c r="Q155" s="168"/>
      <c r="R155" s="60"/>
      <c r="S155" s="174"/>
      <c r="T155" s="71"/>
      <c r="U155" s="71"/>
      <c r="V155" s="60"/>
      <c r="W155" s="157"/>
      <c r="X155" s="157"/>
      <c r="Y155" s="157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</row>
    <row r="156" spans="1:48">
      <c r="A156" s="2"/>
      <c r="B156" s="332"/>
      <c r="C156" s="122">
        <v>12</v>
      </c>
      <c r="D156" s="132" t="s">
        <v>178</v>
      </c>
      <c r="E156" s="71"/>
      <c r="F156" s="71"/>
      <c r="G156" s="71"/>
      <c r="H156" s="71"/>
      <c r="I156" s="71"/>
      <c r="J156" s="251"/>
      <c r="K156" s="251"/>
      <c r="L156" s="71"/>
      <c r="M156" s="71"/>
      <c r="N156" s="71"/>
      <c r="O156" s="71"/>
      <c r="P156" s="71"/>
      <c r="Q156" s="168"/>
      <c r="R156" s="60"/>
      <c r="S156" s="174"/>
      <c r="T156" s="71"/>
      <c r="U156" s="71"/>
      <c r="V156" s="60"/>
      <c r="W156" s="157"/>
      <c r="X156" s="157"/>
      <c r="Y156" s="157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</row>
    <row r="157" spans="1:48">
      <c r="B157" s="326" t="s">
        <v>306</v>
      </c>
      <c r="C157" s="326"/>
      <c r="D157" s="326"/>
      <c r="E157" s="113">
        <f>COUNTA(E85:E141)/45</f>
        <v>0.35555555555555557</v>
      </c>
      <c r="F157" s="113">
        <f>COUNTA(F85:F141)/45</f>
        <v>0.26666666666666666</v>
      </c>
      <c r="G157" s="113">
        <f>COUNTA(G85:G141)/45</f>
        <v>0</v>
      </c>
      <c r="H157" s="113">
        <f>COUNTA(H85:H141)/45</f>
        <v>0.82222222222222219</v>
      </c>
      <c r="I157" s="113">
        <f>COUNTA(I86:I141)/45</f>
        <v>0.64444444444444449</v>
      </c>
      <c r="J157" s="113">
        <f>COUNTA(J85:J141)/45</f>
        <v>0.51111111111111107</v>
      </c>
      <c r="K157" s="123">
        <f>COUNTA(K86:K141)/45</f>
        <v>0</v>
      </c>
      <c r="L157" s="123">
        <f t="shared" ref="L157:U157" si="1">COUNTA(L85:L141)/45</f>
        <v>0.8</v>
      </c>
      <c r="M157" s="113">
        <f>COUNTA(M85:M141)/45</f>
        <v>0.77777777777777779</v>
      </c>
      <c r="N157" s="113">
        <f t="shared" si="1"/>
        <v>0</v>
      </c>
      <c r="O157" s="113">
        <f t="shared" si="1"/>
        <v>0</v>
      </c>
      <c r="P157" s="113">
        <f t="shared" si="1"/>
        <v>0</v>
      </c>
      <c r="Q157" s="167">
        <f t="shared" si="1"/>
        <v>0</v>
      </c>
      <c r="R157" s="113">
        <f t="shared" si="1"/>
        <v>0</v>
      </c>
      <c r="S157" s="113">
        <f t="shared" si="1"/>
        <v>0</v>
      </c>
      <c r="T157" s="123">
        <f>COUNTA(T134:T141)/45</f>
        <v>4.4444444444444446E-2</v>
      </c>
      <c r="U157" s="123">
        <f t="shared" si="1"/>
        <v>0.73333333333333328</v>
      </c>
      <c r="V157" s="113">
        <f>COUNTA(V133:V141)/45</f>
        <v>8.8888888888888892E-2</v>
      </c>
      <c r="W157" s="113">
        <f>COUNTA(W133:W141)/45</f>
        <v>4.4444444444444446E-2</v>
      </c>
      <c r="X157" s="113">
        <f>COUNTA(X133:X141)/45</f>
        <v>0</v>
      </c>
      <c r="Y157" s="113">
        <f t="shared" ref="Y157:AI157" si="2">COUNTA(Y85:Y141)/45</f>
        <v>0</v>
      </c>
      <c r="Z157" s="113">
        <f t="shared" si="2"/>
        <v>0</v>
      </c>
      <c r="AA157" s="113">
        <f t="shared" si="2"/>
        <v>0</v>
      </c>
      <c r="AB157" s="113">
        <f t="shared" si="2"/>
        <v>0</v>
      </c>
      <c r="AC157" s="113">
        <f t="shared" si="2"/>
        <v>0</v>
      </c>
      <c r="AD157" s="113">
        <f t="shared" si="2"/>
        <v>0</v>
      </c>
      <c r="AE157" s="113">
        <f t="shared" si="2"/>
        <v>0</v>
      </c>
      <c r="AF157" s="113">
        <f t="shared" si="2"/>
        <v>0</v>
      </c>
      <c r="AG157" s="113">
        <f t="shared" si="2"/>
        <v>0</v>
      </c>
      <c r="AH157" s="113">
        <f t="shared" si="2"/>
        <v>0</v>
      </c>
      <c r="AI157" s="113">
        <f t="shared" si="2"/>
        <v>0</v>
      </c>
    </row>
    <row r="158" spans="1:48">
      <c r="B158" s="60"/>
      <c r="C158" s="60"/>
      <c r="D158" s="60"/>
      <c r="E158" s="60"/>
      <c r="F158" s="60"/>
      <c r="G158" s="60"/>
      <c r="H158" s="60"/>
      <c r="I158" s="60"/>
      <c r="J158" s="60"/>
      <c r="K158" s="71"/>
      <c r="L158" s="71"/>
      <c r="N158" s="60"/>
      <c r="O158" s="60"/>
      <c r="P158" s="60"/>
      <c r="Q158" s="168"/>
      <c r="R158" s="60"/>
      <c r="S158" s="60"/>
      <c r="T158" s="71"/>
      <c r="U158" s="71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155"/>
    </row>
    <row r="159" spans="1:48" s="61" customFormat="1" ht="17.100000000000001">
      <c r="B159" s="72" t="s">
        <v>133</v>
      </c>
      <c r="C159" s="336" t="s">
        <v>134</v>
      </c>
      <c r="D159" s="336"/>
      <c r="E159" s="72" t="s">
        <v>7</v>
      </c>
      <c r="F159" s="72" t="s">
        <v>14</v>
      </c>
      <c r="G159" s="72" t="s">
        <v>19</v>
      </c>
      <c r="H159" s="72" t="s">
        <v>25</v>
      </c>
      <c r="I159" s="72" t="s">
        <v>28</v>
      </c>
      <c r="J159" s="72" t="s">
        <v>32</v>
      </c>
      <c r="K159" s="72" t="s">
        <v>36</v>
      </c>
      <c r="L159" s="72" t="s">
        <v>40</v>
      </c>
      <c r="M159" s="72" t="s">
        <v>45</v>
      </c>
      <c r="N159" s="72" t="s">
        <v>51</v>
      </c>
      <c r="O159" s="72" t="s">
        <v>54</v>
      </c>
      <c r="P159" s="72" t="s">
        <v>57</v>
      </c>
      <c r="Q159" s="118" t="s">
        <v>60</v>
      </c>
      <c r="R159" s="72" t="s">
        <v>64</v>
      </c>
      <c r="S159" s="72" t="s">
        <v>68</v>
      </c>
      <c r="T159" s="72" t="s">
        <v>72</v>
      </c>
      <c r="U159" s="72" t="s">
        <v>76</v>
      </c>
      <c r="V159" s="72" t="s">
        <v>83</v>
      </c>
      <c r="W159" s="72" t="s">
        <v>86</v>
      </c>
      <c r="X159" s="72" t="s">
        <v>89</v>
      </c>
      <c r="Y159" s="72" t="s">
        <v>90</v>
      </c>
      <c r="Z159" s="72" t="s">
        <v>94</v>
      </c>
      <c r="AA159" s="72" t="s">
        <v>96</v>
      </c>
      <c r="AB159" s="72" t="s">
        <v>97</v>
      </c>
      <c r="AC159" s="72" t="s">
        <v>98</v>
      </c>
      <c r="AD159" s="72" t="s">
        <v>99</v>
      </c>
      <c r="AE159" s="72" t="s">
        <v>101</v>
      </c>
      <c r="AF159" s="72" t="s">
        <v>405</v>
      </c>
      <c r="AG159" s="72" t="s">
        <v>103</v>
      </c>
      <c r="AH159" s="72" t="s">
        <v>104</v>
      </c>
      <c r="AI159" s="153" t="s">
        <v>105</v>
      </c>
      <c r="AJ159" s="72" t="s">
        <v>106</v>
      </c>
      <c r="AK159" s="154" t="s">
        <v>107</v>
      </c>
      <c r="AL159" s="72" t="s">
        <v>108</v>
      </c>
      <c r="AM159" s="72" t="s">
        <v>406</v>
      </c>
      <c r="AN159" s="72" t="s">
        <v>110</v>
      </c>
      <c r="AO159" s="72" t="s">
        <v>111</v>
      </c>
      <c r="AP159" s="72" t="s">
        <v>112</v>
      </c>
      <c r="AQ159" s="72" t="s">
        <v>113</v>
      </c>
      <c r="AR159" s="72" t="s">
        <v>114</v>
      </c>
      <c r="AS159" s="72" t="s">
        <v>115</v>
      </c>
      <c r="AT159" s="72" t="s">
        <v>117</v>
      </c>
      <c r="AU159" s="72" t="s">
        <v>118</v>
      </c>
      <c r="AV159" s="72" t="s">
        <v>120</v>
      </c>
    </row>
    <row r="160" spans="1:48" s="61" customFormat="1" ht="17.100000000000001">
      <c r="B160" s="72"/>
      <c r="C160" s="72"/>
      <c r="D160" s="72"/>
      <c r="E160" s="72" t="s">
        <v>16</v>
      </c>
      <c r="F160" s="72" t="s">
        <v>16</v>
      </c>
      <c r="G160" s="72" t="s">
        <v>407</v>
      </c>
      <c r="H160" s="72" t="s">
        <v>13</v>
      </c>
      <c r="I160" s="72" t="s">
        <v>16</v>
      </c>
      <c r="J160" s="72" t="s">
        <v>408</v>
      </c>
      <c r="K160" s="72" t="s">
        <v>16</v>
      </c>
      <c r="L160" s="72" t="s">
        <v>16</v>
      </c>
      <c r="M160" s="125" t="s">
        <v>46</v>
      </c>
      <c r="N160" s="72" t="s">
        <v>46</v>
      </c>
      <c r="O160" s="72" t="s">
        <v>46</v>
      </c>
      <c r="P160" s="72" t="s">
        <v>46</v>
      </c>
      <c r="Q160" s="118" t="s">
        <v>23</v>
      </c>
      <c r="R160" s="72" t="s">
        <v>11</v>
      </c>
      <c r="S160" s="72" t="s">
        <v>11</v>
      </c>
      <c r="T160" s="72" t="s">
        <v>46</v>
      </c>
      <c r="U160" s="72" t="s">
        <v>409</v>
      </c>
      <c r="V160" s="72" t="s">
        <v>78</v>
      </c>
      <c r="W160" s="72" t="s">
        <v>46</v>
      </c>
      <c r="X160" s="72" t="s">
        <v>78</v>
      </c>
      <c r="Y160" s="125" t="s">
        <v>410</v>
      </c>
      <c r="Z160" s="72" t="s">
        <v>23</v>
      </c>
      <c r="AA160" s="72" t="s">
        <v>46</v>
      </c>
      <c r="AB160" s="72" t="s">
        <v>23</v>
      </c>
      <c r="AC160" s="72" t="s">
        <v>23</v>
      </c>
      <c r="AD160" s="72" t="s">
        <v>411</v>
      </c>
      <c r="AE160" s="72" t="s">
        <v>16</v>
      </c>
      <c r="AF160" s="72" t="s">
        <v>16</v>
      </c>
      <c r="AG160" s="72" t="s">
        <v>46</v>
      </c>
      <c r="AH160" s="72" t="s">
        <v>23</v>
      </c>
      <c r="AI160" s="153" t="s">
        <v>46</v>
      </c>
      <c r="AJ160" s="72" t="s">
        <v>46</v>
      </c>
      <c r="AK160" s="154" t="s">
        <v>13</v>
      </c>
      <c r="AL160" s="154" t="s">
        <v>13</v>
      </c>
      <c r="AM160" s="154" t="s">
        <v>13</v>
      </c>
      <c r="AN160" s="154" t="s">
        <v>13</v>
      </c>
      <c r="AO160" s="72" t="s">
        <v>78</v>
      </c>
      <c r="AP160" s="72" t="s">
        <v>78</v>
      </c>
      <c r="AQ160" s="72" t="s">
        <v>23</v>
      </c>
      <c r="AR160" s="72" t="s">
        <v>16</v>
      </c>
      <c r="AS160" s="72" t="s">
        <v>412</v>
      </c>
      <c r="AT160" s="72" t="s">
        <v>412</v>
      </c>
      <c r="AU160" s="72" t="s">
        <v>49</v>
      </c>
      <c r="AV160" s="72" t="s">
        <v>49</v>
      </c>
    </row>
    <row r="161" spans="2:48" s="28" customFormat="1" ht="26.25" customHeight="1">
      <c r="B161" s="327" t="s">
        <v>137</v>
      </c>
      <c r="C161" s="120">
        <v>1</v>
      </c>
      <c r="D161" s="121" t="s">
        <v>138</v>
      </c>
      <c r="E161" s="70"/>
      <c r="F161" s="70"/>
      <c r="G161" s="70"/>
      <c r="H161" s="70"/>
      <c r="I161" s="70"/>
      <c r="J161" s="189"/>
      <c r="K161" s="70" t="s">
        <v>413</v>
      </c>
      <c r="L161" s="70" t="s">
        <v>414</v>
      </c>
      <c r="M161" s="70" t="s">
        <v>415</v>
      </c>
      <c r="N161" s="70" t="s">
        <v>416</v>
      </c>
      <c r="O161" s="70" t="s">
        <v>417</v>
      </c>
      <c r="P161" s="70" t="s">
        <v>418</v>
      </c>
      <c r="Q161" s="70" t="s">
        <v>419</v>
      </c>
      <c r="R161" s="70" t="s">
        <v>420</v>
      </c>
      <c r="S161" s="70" t="s">
        <v>352</v>
      </c>
      <c r="T161" s="70" t="s">
        <v>421</v>
      </c>
      <c r="U161" s="70"/>
      <c r="V161" s="70"/>
      <c r="W161" s="70" t="s">
        <v>422</v>
      </c>
      <c r="X161" s="228" t="s">
        <v>423</v>
      </c>
      <c r="Y161" s="256" t="s">
        <v>424</v>
      </c>
      <c r="Z161" s="202" t="s">
        <v>425</v>
      </c>
      <c r="AA161" s="70"/>
      <c r="AB161" s="70"/>
      <c r="AC161" s="70"/>
      <c r="AD161" s="70" t="s">
        <v>426</v>
      </c>
      <c r="AE161" s="70"/>
      <c r="AF161" s="70"/>
      <c r="AG161" s="70" t="s">
        <v>427</v>
      </c>
      <c r="AH161" s="70" t="s">
        <v>324</v>
      </c>
      <c r="AI161" s="70"/>
      <c r="AJ161" s="70"/>
      <c r="AK161" s="70"/>
      <c r="AL161" s="70"/>
      <c r="AM161" s="70"/>
      <c r="AN161" s="70"/>
      <c r="AO161" s="70"/>
      <c r="AP161" s="70" t="s">
        <v>428</v>
      </c>
      <c r="AQ161" s="70"/>
      <c r="AR161" s="70" t="s">
        <v>429</v>
      </c>
      <c r="AS161" s="70" t="s">
        <v>430</v>
      </c>
      <c r="AT161" s="70" t="s">
        <v>431</v>
      </c>
      <c r="AU161" s="70"/>
      <c r="AV161" s="70"/>
    </row>
    <row r="162" spans="2:48" s="28" customFormat="1" ht="25.5" customHeight="1">
      <c r="B162" s="328"/>
      <c r="C162" s="120">
        <v>2</v>
      </c>
      <c r="D162" s="121" t="s">
        <v>146</v>
      </c>
      <c r="E162" s="70"/>
      <c r="F162" s="70"/>
      <c r="G162" s="70"/>
      <c r="H162" s="70"/>
      <c r="I162" s="70" t="s">
        <v>432</v>
      </c>
      <c r="J162" s="189"/>
      <c r="K162" s="70" t="s">
        <v>413</v>
      </c>
      <c r="L162" s="70" t="s">
        <v>414</v>
      </c>
      <c r="M162" s="70" t="s">
        <v>415</v>
      </c>
      <c r="N162" s="70" t="s">
        <v>416</v>
      </c>
      <c r="O162" s="70" t="s">
        <v>417</v>
      </c>
      <c r="P162" s="70" t="s">
        <v>418</v>
      </c>
      <c r="Q162" s="70" t="s">
        <v>419</v>
      </c>
      <c r="R162" s="70" t="s">
        <v>420</v>
      </c>
      <c r="S162" s="70" t="s">
        <v>352</v>
      </c>
      <c r="T162" s="70" t="s">
        <v>421</v>
      </c>
      <c r="U162" s="70"/>
      <c r="V162" s="70" t="s">
        <v>433</v>
      </c>
      <c r="W162" s="70" t="s">
        <v>422</v>
      </c>
      <c r="X162" s="228" t="s">
        <v>423</v>
      </c>
      <c r="Y162" s="256" t="s">
        <v>434</v>
      </c>
      <c r="Z162" s="202" t="s">
        <v>425</v>
      </c>
      <c r="AA162" s="70"/>
      <c r="AB162" s="70"/>
      <c r="AC162" s="70"/>
      <c r="AD162" s="70" t="s">
        <v>426</v>
      </c>
      <c r="AE162" s="70"/>
      <c r="AF162" s="70"/>
      <c r="AG162" s="70" t="s">
        <v>427</v>
      </c>
      <c r="AH162" s="70" t="s">
        <v>324</v>
      </c>
      <c r="AI162" s="70" t="s">
        <v>435</v>
      </c>
      <c r="AJ162" s="70"/>
      <c r="AK162" s="70"/>
      <c r="AL162" s="70"/>
      <c r="AM162" s="70"/>
      <c r="AN162" s="70"/>
      <c r="AO162" s="70" t="s">
        <v>436</v>
      </c>
      <c r="AP162" s="70" t="s">
        <v>428</v>
      </c>
      <c r="AQ162" s="70"/>
      <c r="AR162" s="70" t="s">
        <v>429</v>
      </c>
      <c r="AS162" s="70" t="s">
        <v>430</v>
      </c>
      <c r="AT162" s="70" t="s">
        <v>431</v>
      </c>
      <c r="AU162" s="70"/>
      <c r="AV162" s="70"/>
    </row>
    <row r="163" spans="2:48" s="28" customFormat="1" ht="26.25" customHeight="1">
      <c r="B163" s="328"/>
      <c r="C163" s="120">
        <v>3</v>
      </c>
      <c r="D163" s="121" t="s">
        <v>149</v>
      </c>
      <c r="E163" s="70"/>
      <c r="F163" s="70"/>
      <c r="G163" s="70"/>
      <c r="H163" s="70"/>
      <c r="I163" s="70" t="s">
        <v>432</v>
      </c>
      <c r="J163" s="189"/>
      <c r="K163" s="70" t="s">
        <v>437</v>
      </c>
      <c r="L163" s="70" t="s">
        <v>414</v>
      </c>
      <c r="M163" s="70" t="s">
        <v>415</v>
      </c>
      <c r="N163" s="70" t="s">
        <v>416</v>
      </c>
      <c r="O163" s="70" t="s">
        <v>417</v>
      </c>
      <c r="P163" s="70" t="s">
        <v>418</v>
      </c>
      <c r="Q163" s="70" t="s">
        <v>419</v>
      </c>
      <c r="R163" s="70" t="s">
        <v>420</v>
      </c>
      <c r="S163" s="70" t="s">
        <v>352</v>
      </c>
      <c r="T163" s="70" t="s">
        <v>421</v>
      </c>
      <c r="U163" s="70"/>
      <c r="V163" s="70" t="s">
        <v>433</v>
      </c>
      <c r="W163" s="70" t="s">
        <v>422</v>
      </c>
      <c r="X163" s="228" t="s">
        <v>423</v>
      </c>
      <c r="Y163" s="256" t="s">
        <v>434</v>
      </c>
      <c r="Z163" s="202" t="s">
        <v>425</v>
      </c>
      <c r="AA163" s="70"/>
      <c r="AB163" s="70"/>
      <c r="AC163" s="70"/>
      <c r="AD163" s="70" t="s">
        <v>426</v>
      </c>
      <c r="AE163" s="70"/>
      <c r="AF163" s="70"/>
      <c r="AG163" s="70" t="s">
        <v>427</v>
      </c>
      <c r="AH163" s="70" t="s">
        <v>324</v>
      </c>
      <c r="AI163" s="70" t="s">
        <v>435</v>
      </c>
      <c r="AJ163" s="70"/>
      <c r="AK163" s="70"/>
      <c r="AL163" s="70"/>
      <c r="AM163" s="70"/>
      <c r="AN163" s="70"/>
      <c r="AO163" s="70" t="s">
        <v>436</v>
      </c>
      <c r="AP163" s="70" t="s">
        <v>428</v>
      </c>
      <c r="AQ163" s="70"/>
      <c r="AR163" s="70"/>
      <c r="AS163" s="70" t="s">
        <v>430</v>
      </c>
      <c r="AT163" s="70" t="s">
        <v>431</v>
      </c>
      <c r="AU163" s="70"/>
      <c r="AV163" s="70"/>
    </row>
    <row r="164" spans="2:48" s="28" customFormat="1" ht="33" customHeight="1">
      <c r="B164" s="328"/>
      <c r="C164" s="120">
        <v>4</v>
      </c>
      <c r="D164" s="121" t="s">
        <v>152</v>
      </c>
      <c r="E164" s="70"/>
      <c r="F164" s="70" t="s">
        <v>438</v>
      </c>
      <c r="G164" s="70"/>
      <c r="H164" s="70" t="s">
        <v>439</v>
      </c>
      <c r="I164" s="70" t="s">
        <v>432</v>
      </c>
      <c r="J164" s="189"/>
      <c r="K164" s="70" t="s">
        <v>437</v>
      </c>
      <c r="L164" s="70" t="s">
        <v>414</v>
      </c>
      <c r="M164" s="70" t="s">
        <v>440</v>
      </c>
      <c r="N164" s="70" t="s">
        <v>441</v>
      </c>
      <c r="O164" s="70"/>
      <c r="P164" s="70" t="s">
        <v>442</v>
      </c>
      <c r="Q164" s="70" t="s">
        <v>443</v>
      </c>
      <c r="R164" s="70" t="s">
        <v>444</v>
      </c>
      <c r="S164" s="70" t="s">
        <v>445</v>
      </c>
      <c r="T164" s="70" t="s">
        <v>446</v>
      </c>
      <c r="U164" s="70"/>
      <c r="V164" s="70" t="s">
        <v>447</v>
      </c>
      <c r="W164" s="70" t="s">
        <v>448</v>
      </c>
      <c r="X164" s="228" t="s">
        <v>449</v>
      </c>
      <c r="Y164" s="256" t="s">
        <v>317</v>
      </c>
      <c r="Z164" s="70" t="s">
        <v>367</v>
      </c>
      <c r="AA164" s="70"/>
      <c r="AB164" s="70"/>
      <c r="AC164" s="70"/>
      <c r="AD164" s="70" t="s">
        <v>450</v>
      </c>
      <c r="AE164" s="70"/>
      <c r="AF164" s="70"/>
      <c r="AG164" s="70" t="s">
        <v>451</v>
      </c>
      <c r="AH164" s="189" t="s">
        <v>452</v>
      </c>
      <c r="AI164" s="70" t="s">
        <v>453</v>
      </c>
      <c r="AJ164" s="70" t="s">
        <v>454</v>
      </c>
      <c r="AK164" s="70"/>
      <c r="AL164" s="70"/>
      <c r="AM164" s="70"/>
      <c r="AN164" s="70"/>
      <c r="AO164" s="70"/>
      <c r="AP164" s="70" t="s">
        <v>455</v>
      </c>
      <c r="AQ164" s="70"/>
      <c r="AR164" s="70"/>
      <c r="AS164" s="70" t="s">
        <v>456</v>
      </c>
      <c r="AT164" s="70" t="s">
        <v>457</v>
      </c>
      <c r="AU164" s="70"/>
      <c r="AV164" s="70"/>
    </row>
    <row r="165" spans="2:48" s="28" customFormat="1" ht="27" customHeight="1">
      <c r="B165" s="328"/>
      <c r="C165" s="120">
        <v>5</v>
      </c>
      <c r="D165" s="121" t="s">
        <v>162</v>
      </c>
      <c r="E165" s="70"/>
      <c r="F165" s="70" t="s">
        <v>438</v>
      </c>
      <c r="G165" s="70"/>
      <c r="H165" s="70" t="s">
        <v>439</v>
      </c>
      <c r="I165" s="70" t="s">
        <v>458</v>
      </c>
      <c r="J165" s="189"/>
      <c r="K165" s="70" t="s">
        <v>459</v>
      </c>
      <c r="L165" s="70" t="s">
        <v>460</v>
      </c>
      <c r="M165" s="70" t="s">
        <v>440</v>
      </c>
      <c r="N165" s="70" t="s">
        <v>441</v>
      </c>
      <c r="O165" s="70" t="s">
        <v>461</v>
      </c>
      <c r="P165" s="70" t="s">
        <v>442</v>
      </c>
      <c r="Q165" s="70" t="s">
        <v>443</v>
      </c>
      <c r="R165" s="70" t="s">
        <v>444</v>
      </c>
      <c r="S165" s="70" t="s">
        <v>445</v>
      </c>
      <c r="T165" s="70" t="s">
        <v>446</v>
      </c>
      <c r="U165" s="70"/>
      <c r="V165" s="70" t="s">
        <v>447</v>
      </c>
      <c r="W165" s="70" t="s">
        <v>448</v>
      </c>
      <c r="X165" s="228" t="s">
        <v>449</v>
      </c>
      <c r="Y165" s="189" t="s">
        <v>317</v>
      </c>
      <c r="Z165" s="70" t="s">
        <v>367</v>
      </c>
      <c r="AA165" s="70"/>
      <c r="AB165" s="70"/>
      <c r="AC165" s="70"/>
      <c r="AD165" s="70" t="s">
        <v>450</v>
      </c>
      <c r="AE165" s="70"/>
      <c r="AF165" s="70"/>
      <c r="AG165" s="70" t="s">
        <v>451</v>
      </c>
      <c r="AH165" s="189" t="s">
        <v>452</v>
      </c>
      <c r="AI165" s="70" t="s">
        <v>453</v>
      </c>
      <c r="AJ165" s="70" t="s">
        <v>454</v>
      </c>
      <c r="AK165" s="70"/>
      <c r="AL165" s="70"/>
      <c r="AM165" s="70"/>
      <c r="AN165" s="70"/>
      <c r="AO165" s="70"/>
      <c r="AP165" s="70" t="s">
        <v>455</v>
      </c>
      <c r="AQ165" s="70"/>
      <c r="AR165" s="70" t="s">
        <v>462</v>
      </c>
      <c r="AS165" s="70" t="s">
        <v>456</v>
      </c>
      <c r="AT165" s="70" t="s">
        <v>457</v>
      </c>
      <c r="AU165" s="70"/>
      <c r="AV165" s="70"/>
    </row>
    <row r="166" spans="2:48" s="28" customFormat="1" ht="24" customHeight="1">
      <c r="B166" s="328"/>
      <c r="C166" s="120">
        <v>6</v>
      </c>
      <c r="D166" s="121" t="s">
        <v>164</v>
      </c>
      <c r="E166" s="70"/>
      <c r="F166" s="70" t="s">
        <v>438</v>
      </c>
      <c r="G166" s="70"/>
      <c r="H166" s="70"/>
      <c r="I166" s="70" t="s">
        <v>458</v>
      </c>
      <c r="J166" s="189"/>
      <c r="K166" s="70" t="s">
        <v>459</v>
      </c>
      <c r="L166" s="70" t="s">
        <v>460</v>
      </c>
      <c r="M166" s="70" t="s">
        <v>440</v>
      </c>
      <c r="N166" s="70" t="s">
        <v>441</v>
      </c>
      <c r="O166" s="70" t="s">
        <v>461</v>
      </c>
      <c r="P166" s="70" t="s">
        <v>442</v>
      </c>
      <c r="Q166" s="70" t="s">
        <v>443</v>
      </c>
      <c r="R166" s="70" t="s">
        <v>444</v>
      </c>
      <c r="S166" s="70" t="s">
        <v>445</v>
      </c>
      <c r="T166" s="70" t="s">
        <v>446</v>
      </c>
      <c r="U166" s="70"/>
      <c r="V166" s="70"/>
      <c r="W166" s="70" t="s">
        <v>448</v>
      </c>
      <c r="X166" s="228" t="s">
        <v>449</v>
      </c>
      <c r="Y166" s="189" t="s">
        <v>317</v>
      </c>
      <c r="Z166" s="70" t="s">
        <v>367</v>
      </c>
      <c r="AA166" s="70"/>
      <c r="AB166" s="70"/>
      <c r="AC166" s="70"/>
      <c r="AD166" s="70" t="s">
        <v>450</v>
      </c>
      <c r="AE166" s="70"/>
      <c r="AF166" s="70"/>
      <c r="AG166" s="70" t="s">
        <v>451</v>
      </c>
      <c r="AH166" s="189" t="s">
        <v>452</v>
      </c>
      <c r="AI166" s="70" t="s">
        <v>453</v>
      </c>
      <c r="AJ166" s="70" t="s">
        <v>454</v>
      </c>
      <c r="AK166" s="70"/>
      <c r="AL166" s="70"/>
      <c r="AM166" s="70"/>
      <c r="AN166" s="70"/>
      <c r="AO166" s="70"/>
      <c r="AP166" s="70" t="s">
        <v>455</v>
      </c>
      <c r="AQ166" s="70"/>
      <c r="AR166" s="70" t="s">
        <v>462</v>
      </c>
      <c r="AS166" s="70" t="s">
        <v>456</v>
      </c>
      <c r="AT166" s="70" t="s">
        <v>457</v>
      </c>
      <c r="AU166" s="70"/>
      <c r="AV166" s="70"/>
    </row>
    <row r="167" spans="2:48" s="183" customFormat="1" ht="18.75" customHeight="1">
      <c r="B167" s="328"/>
      <c r="C167" s="120">
        <v>7</v>
      </c>
      <c r="D167" s="121" t="s">
        <v>165</v>
      </c>
      <c r="E167" s="182"/>
      <c r="F167" s="182" t="s">
        <v>438</v>
      </c>
      <c r="G167" s="182"/>
      <c r="H167" s="182" t="s">
        <v>463</v>
      </c>
      <c r="I167" s="182"/>
      <c r="J167" s="182"/>
      <c r="K167" s="70" t="s">
        <v>459</v>
      </c>
      <c r="L167" s="70" t="s">
        <v>460</v>
      </c>
      <c r="M167" s="182" t="s">
        <v>464</v>
      </c>
      <c r="N167" s="182" t="s">
        <v>465</v>
      </c>
      <c r="O167" s="70" t="s">
        <v>466</v>
      </c>
      <c r="P167" s="182" t="s">
        <v>467</v>
      </c>
      <c r="Q167" s="70"/>
      <c r="R167" s="70" t="s">
        <v>444</v>
      </c>
      <c r="S167" s="70" t="s">
        <v>445</v>
      </c>
      <c r="T167" s="70" t="s">
        <v>468</v>
      </c>
      <c r="U167" s="70"/>
      <c r="V167" s="182" t="s">
        <v>469</v>
      </c>
      <c r="W167" s="182"/>
      <c r="X167" s="182"/>
      <c r="Y167" s="189" t="s">
        <v>317</v>
      </c>
      <c r="Z167" s="182"/>
      <c r="AA167" s="182"/>
      <c r="AB167" s="182"/>
      <c r="AC167" s="182"/>
      <c r="AD167" s="182" t="s">
        <v>470</v>
      </c>
      <c r="AE167" s="182"/>
      <c r="AF167" s="182"/>
      <c r="AG167" s="276"/>
      <c r="AH167" s="182" t="s">
        <v>471</v>
      </c>
      <c r="AI167" s="182" t="s">
        <v>472</v>
      </c>
      <c r="AJ167" s="182"/>
      <c r="AK167" s="182"/>
      <c r="AL167" s="182"/>
      <c r="AM167" s="182"/>
      <c r="AN167" s="182"/>
      <c r="AO167" s="182"/>
      <c r="AP167" s="182"/>
      <c r="AQ167" s="182"/>
      <c r="AR167" s="182" t="s">
        <v>462</v>
      </c>
      <c r="AS167" s="70" t="s">
        <v>473</v>
      </c>
      <c r="AT167" s="182" t="s">
        <v>474</v>
      </c>
      <c r="AU167" s="182"/>
      <c r="AV167" s="182"/>
    </row>
    <row r="168" spans="2:48" s="184" customFormat="1" ht="18.75" customHeight="1">
      <c r="B168" s="328"/>
      <c r="C168" s="120">
        <v>8</v>
      </c>
      <c r="D168" s="121" t="s">
        <v>169</v>
      </c>
      <c r="E168" s="70"/>
      <c r="F168" s="70"/>
      <c r="G168" s="70"/>
      <c r="H168" s="182" t="s">
        <v>475</v>
      </c>
      <c r="I168" s="70"/>
      <c r="J168" s="70"/>
      <c r="K168" s="70" t="s">
        <v>459</v>
      </c>
      <c r="L168" s="70" t="s">
        <v>460</v>
      </c>
      <c r="M168" s="70" t="s">
        <v>464</v>
      </c>
      <c r="N168" s="182" t="s">
        <v>465</v>
      </c>
      <c r="O168" s="70" t="s">
        <v>466</v>
      </c>
      <c r="P168" s="70" t="s">
        <v>467</v>
      </c>
      <c r="Q168" s="70"/>
      <c r="R168" s="70"/>
      <c r="S168" s="70"/>
      <c r="T168" s="70" t="s">
        <v>468</v>
      </c>
      <c r="U168" s="70"/>
      <c r="V168" s="70" t="s">
        <v>469</v>
      </c>
      <c r="W168" s="70"/>
      <c r="X168" s="70"/>
      <c r="Y168" s="189" t="s">
        <v>317</v>
      </c>
      <c r="Z168" s="70"/>
      <c r="AA168" s="70"/>
      <c r="AB168" s="70"/>
      <c r="AC168" s="70"/>
      <c r="AD168" s="182" t="s">
        <v>470</v>
      </c>
      <c r="AE168" s="70"/>
      <c r="AF168" s="70"/>
      <c r="AG168" s="276"/>
      <c r="AH168" s="182" t="s">
        <v>471</v>
      </c>
      <c r="AI168" s="70" t="s">
        <v>472</v>
      </c>
      <c r="AJ168" s="70"/>
      <c r="AK168" s="70"/>
      <c r="AL168" s="70"/>
      <c r="AM168" s="70"/>
      <c r="AN168" s="70"/>
      <c r="AO168" s="70"/>
      <c r="AP168" s="70"/>
      <c r="AQ168" s="70"/>
      <c r="AR168" s="70" t="s">
        <v>462</v>
      </c>
      <c r="AS168" s="70" t="s">
        <v>473</v>
      </c>
      <c r="AT168" s="182" t="s">
        <v>474</v>
      </c>
      <c r="AU168" s="70"/>
      <c r="AV168" s="70"/>
    </row>
    <row r="169" spans="2:48" s="184" customFormat="1" ht="15.95" customHeight="1">
      <c r="B169" s="328"/>
      <c r="C169" s="120">
        <v>9</v>
      </c>
      <c r="D169" s="121" t="s">
        <v>172</v>
      </c>
      <c r="E169" s="70"/>
      <c r="F169" s="70"/>
      <c r="G169" s="70"/>
      <c r="H169" s="70"/>
      <c r="I169" s="70"/>
      <c r="J169" s="70"/>
      <c r="K169" s="70"/>
      <c r="L169" s="70"/>
      <c r="M169" s="228" t="s">
        <v>464</v>
      </c>
      <c r="N169" s="182" t="s">
        <v>465</v>
      </c>
      <c r="O169" s="202" t="s">
        <v>466</v>
      </c>
      <c r="P169" s="70" t="s">
        <v>467</v>
      </c>
      <c r="Q169" s="70"/>
      <c r="R169" s="70"/>
      <c r="S169" s="70"/>
      <c r="T169" s="70" t="s">
        <v>468</v>
      </c>
      <c r="U169" s="70"/>
      <c r="V169" s="70"/>
      <c r="W169" s="70"/>
      <c r="X169" s="70"/>
      <c r="Y169" s="70" t="s">
        <v>23</v>
      </c>
      <c r="Z169" s="70"/>
      <c r="AA169" s="70"/>
      <c r="AB169" s="70"/>
      <c r="AC169" s="70"/>
      <c r="AD169" s="70" t="s">
        <v>470</v>
      </c>
      <c r="AE169" s="70"/>
      <c r="AF169" s="70"/>
      <c r="AG169" s="276"/>
      <c r="AH169" s="182" t="s">
        <v>471</v>
      </c>
      <c r="AI169" s="70" t="s">
        <v>472</v>
      </c>
      <c r="AJ169" s="70"/>
      <c r="AK169" s="70"/>
      <c r="AL169" s="70"/>
      <c r="AM169" s="70"/>
      <c r="AN169" s="70"/>
      <c r="AO169" s="70"/>
      <c r="AP169" s="70"/>
      <c r="AQ169" s="70"/>
      <c r="AR169" s="70"/>
      <c r="AS169" s="70" t="s">
        <v>473</v>
      </c>
      <c r="AT169" s="182" t="s">
        <v>474</v>
      </c>
      <c r="AU169" s="70"/>
      <c r="AV169" s="70"/>
    </row>
    <row r="170" spans="2:48" s="183" customFormat="1" ht="15.95" customHeight="1">
      <c r="B170" s="328"/>
      <c r="C170" s="120">
        <v>10</v>
      </c>
      <c r="D170" s="121" t="s">
        <v>174</v>
      </c>
      <c r="E170" s="186"/>
      <c r="F170" s="186"/>
      <c r="G170" s="186"/>
      <c r="H170" s="186"/>
      <c r="I170" s="186"/>
      <c r="J170" s="186"/>
      <c r="K170" s="186"/>
      <c r="L170" s="186"/>
      <c r="M170" s="212"/>
      <c r="N170" s="70"/>
      <c r="O170" s="293" t="s">
        <v>476</v>
      </c>
      <c r="P170" s="69"/>
      <c r="Q170" s="69"/>
      <c r="R170" s="70"/>
      <c r="S170" s="70"/>
      <c r="T170" s="70"/>
      <c r="U170" s="70"/>
      <c r="V170" s="186"/>
      <c r="W170" s="186"/>
      <c r="X170" s="186"/>
      <c r="Y170" s="70" t="s">
        <v>23</v>
      </c>
      <c r="Z170" s="186"/>
      <c r="AA170" s="186"/>
      <c r="AB170" s="186"/>
      <c r="AC170" s="186"/>
      <c r="AD170" s="186"/>
      <c r="AE170" s="186"/>
      <c r="AF170" s="186"/>
      <c r="AG170" s="276"/>
      <c r="AH170" s="186"/>
      <c r="AI170" s="186"/>
      <c r="AJ170" s="186"/>
      <c r="AK170" s="186"/>
      <c r="AL170" s="186"/>
      <c r="AM170" s="186"/>
      <c r="AN170" s="186"/>
      <c r="AO170" s="186"/>
      <c r="AP170" s="186"/>
      <c r="AQ170" s="186"/>
      <c r="AR170" s="186"/>
      <c r="AS170" s="186"/>
      <c r="AT170" s="186"/>
      <c r="AU170" s="186"/>
      <c r="AV170" s="186"/>
    </row>
    <row r="171" spans="2:48" s="183" customFormat="1" ht="15.95" customHeight="1">
      <c r="B171" s="328"/>
      <c r="C171" s="120">
        <v>11</v>
      </c>
      <c r="D171" s="121" t="s">
        <v>177</v>
      </c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 t="s">
        <v>476</v>
      </c>
      <c r="P171" s="69"/>
      <c r="Q171" s="69"/>
      <c r="R171" s="70"/>
      <c r="S171" s="70"/>
      <c r="T171" s="70"/>
      <c r="U171" s="70"/>
      <c r="V171" s="186"/>
      <c r="W171" s="186"/>
      <c r="X171" s="186"/>
      <c r="Y171" s="70" t="s">
        <v>23</v>
      </c>
      <c r="Z171" s="186"/>
      <c r="AA171" s="186"/>
      <c r="AB171" s="186"/>
      <c r="AC171" s="186"/>
      <c r="AD171" s="186"/>
      <c r="AE171" s="186"/>
      <c r="AF171" s="186"/>
      <c r="AG171" s="276"/>
      <c r="AH171" s="186"/>
      <c r="AI171" s="186"/>
      <c r="AJ171" s="186"/>
      <c r="AK171" s="186"/>
      <c r="AL171" s="186"/>
      <c r="AM171" s="186"/>
      <c r="AN171" s="186"/>
      <c r="AO171" s="186"/>
      <c r="AP171" s="186"/>
      <c r="AQ171" s="186"/>
      <c r="AR171" s="186"/>
      <c r="AS171" s="186"/>
      <c r="AT171" s="186"/>
      <c r="AU171" s="186"/>
      <c r="AV171" s="186"/>
    </row>
    <row r="172" spans="2:48" s="183" customFormat="1" ht="15.95" customHeight="1">
      <c r="B172" s="329"/>
      <c r="C172" s="120">
        <v>12</v>
      </c>
      <c r="D172" s="121" t="s">
        <v>178</v>
      </c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 t="s">
        <v>476</v>
      </c>
      <c r="P172" s="69"/>
      <c r="Q172" s="69"/>
      <c r="R172" s="70"/>
      <c r="S172" s="70"/>
      <c r="T172" s="70"/>
      <c r="U172" s="70"/>
      <c r="V172" s="186"/>
      <c r="W172" s="186"/>
      <c r="X172" s="186"/>
      <c r="Y172" s="70" t="s">
        <v>23</v>
      </c>
      <c r="Z172" s="186"/>
      <c r="AA172" s="186"/>
      <c r="AB172" s="186"/>
      <c r="AC172" s="186"/>
      <c r="AD172" s="186"/>
      <c r="AE172" s="186"/>
      <c r="AF172" s="186"/>
      <c r="AG172" s="27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186"/>
      <c r="AV172" s="186"/>
    </row>
    <row r="173" spans="2:48" s="115" customFormat="1" ht="27" customHeight="1">
      <c r="B173" s="330" t="s">
        <v>179</v>
      </c>
      <c r="C173" s="122">
        <v>1</v>
      </c>
      <c r="D173" s="132" t="s">
        <v>477</v>
      </c>
      <c r="E173" s="185"/>
      <c r="F173" s="185"/>
      <c r="G173" s="185"/>
      <c r="H173" s="185"/>
      <c r="I173" s="185"/>
      <c r="J173" s="263"/>
      <c r="K173" s="185" t="s">
        <v>478</v>
      </c>
      <c r="L173" s="185"/>
      <c r="M173" s="185"/>
      <c r="N173" s="185" t="s">
        <v>479</v>
      </c>
      <c r="O173" s="71" t="s">
        <v>480</v>
      </c>
      <c r="P173" s="185" t="s">
        <v>481</v>
      </c>
      <c r="Q173" s="214" t="s">
        <v>482</v>
      </c>
      <c r="R173" s="278" t="s">
        <v>483</v>
      </c>
      <c r="S173" s="278"/>
      <c r="T173" s="278" t="s">
        <v>484</v>
      </c>
      <c r="U173" s="278"/>
      <c r="V173" s="185"/>
      <c r="W173" s="185" t="s">
        <v>485</v>
      </c>
      <c r="X173" s="185" t="s">
        <v>486</v>
      </c>
      <c r="Y173" s="263" t="s">
        <v>487</v>
      </c>
      <c r="Z173" s="214"/>
      <c r="AA173" s="185"/>
      <c r="AB173" s="185"/>
      <c r="AC173" s="185"/>
      <c r="AD173" s="185" t="s">
        <v>488</v>
      </c>
      <c r="AE173" s="185"/>
      <c r="AF173" s="185" t="s">
        <v>489</v>
      </c>
      <c r="AG173" s="276"/>
      <c r="AH173" s="263" t="s">
        <v>186</v>
      </c>
      <c r="AI173" s="185"/>
      <c r="AJ173" s="277" t="s">
        <v>490</v>
      </c>
      <c r="AK173" s="185"/>
      <c r="AL173" s="185"/>
      <c r="AM173" s="185"/>
      <c r="AN173" s="185"/>
      <c r="AO173" s="185" t="s">
        <v>491</v>
      </c>
      <c r="AP173" s="185"/>
      <c r="AQ173" s="185"/>
      <c r="AR173" s="185"/>
      <c r="AS173" s="185" t="s">
        <v>492</v>
      </c>
      <c r="AT173" s="185" t="s">
        <v>493</v>
      </c>
      <c r="AU173" s="185"/>
      <c r="AV173" s="185"/>
    </row>
    <row r="174" spans="2:48" ht="27.75" customHeight="1">
      <c r="B174" s="331"/>
      <c r="C174" s="122">
        <v>2</v>
      </c>
      <c r="D174" s="132" t="s">
        <v>494</v>
      </c>
      <c r="E174" s="126"/>
      <c r="F174" s="126"/>
      <c r="G174" s="126"/>
      <c r="H174" s="126"/>
      <c r="I174" s="126"/>
      <c r="J174" s="263"/>
      <c r="K174" s="185" t="s">
        <v>478</v>
      </c>
      <c r="L174" s="126"/>
      <c r="M174" s="126" t="s">
        <v>495</v>
      </c>
      <c r="N174" s="126" t="s">
        <v>479</v>
      </c>
      <c r="O174" s="71" t="s">
        <v>480</v>
      </c>
      <c r="P174" s="126" t="s">
        <v>481</v>
      </c>
      <c r="Q174" s="214" t="s">
        <v>482</v>
      </c>
      <c r="R174" s="278" t="s">
        <v>483</v>
      </c>
      <c r="S174" s="278" t="s">
        <v>496</v>
      </c>
      <c r="T174" s="126" t="s">
        <v>484</v>
      </c>
      <c r="U174" s="126"/>
      <c r="V174" s="126" t="s">
        <v>469</v>
      </c>
      <c r="W174" s="126" t="s">
        <v>485</v>
      </c>
      <c r="X174" s="185" t="s">
        <v>486</v>
      </c>
      <c r="Y174" s="263" t="s">
        <v>497</v>
      </c>
      <c r="Z174" s="214"/>
      <c r="AA174" s="126"/>
      <c r="AB174" s="126"/>
      <c r="AC174" s="126"/>
      <c r="AD174" s="185" t="s">
        <v>488</v>
      </c>
      <c r="AE174" s="126"/>
      <c r="AF174" s="185" t="s">
        <v>489</v>
      </c>
      <c r="AH174" s="262" t="s">
        <v>186</v>
      </c>
      <c r="AI174" s="278" t="s">
        <v>498</v>
      </c>
      <c r="AJ174" s="126" t="s">
        <v>490</v>
      </c>
      <c r="AK174" s="126"/>
      <c r="AL174" s="126"/>
      <c r="AM174" s="126"/>
      <c r="AN174" s="126"/>
      <c r="AO174" s="185" t="s">
        <v>491</v>
      </c>
      <c r="AP174" s="126" t="s">
        <v>499</v>
      </c>
      <c r="AQ174" s="126"/>
      <c r="AR174" s="126"/>
      <c r="AS174" s="185" t="s">
        <v>492</v>
      </c>
      <c r="AT174" s="185" t="s">
        <v>493</v>
      </c>
      <c r="AU174" s="126"/>
      <c r="AV174" s="126"/>
    </row>
    <row r="175" spans="2:48" ht="23.25" customHeight="1">
      <c r="B175" s="331"/>
      <c r="C175" s="122">
        <v>3</v>
      </c>
      <c r="D175" s="132" t="s">
        <v>500</v>
      </c>
      <c r="E175" s="126"/>
      <c r="F175" s="126"/>
      <c r="G175" s="126"/>
      <c r="H175" s="126"/>
      <c r="I175" s="312" t="s">
        <v>501</v>
      </c>
      <c r="J175" s="263"/>
      <c r="K175" s="185" t="s">
        <v>478</v>
      </c>
      <c r="L175" s="126"/>
      <c r="M175" s="126" t="s">
        <v>495</v>
      </c>
      <c r="N175" s="126" t="s">
        <v>479</v>
      </c>
      <c r="O175" s="71" t="s">
        <v>480</v>
      </c>
      <c r="P175" s="126" t="s">
        <v>481</v>
      </c>
      <c r="Q175" s="214" t="s">
        <v>482</v>
      </c>
      <c r="R175" s="126" t="s">
        <v>483</v>
      </c>
      <c r="S175" s="126" t="s">
        <v>496</v>
      </c>
      <c r="T175" s="126" t="s">
        <v>484</v>
      </c>
      <c r="U175" s="126"/>
      <c r="V175" s="126" t="s">
        <v>469</v>
      </c>
      <c r="W175" s="126" t="s">
        <v>485</v>
      </c>
      <c r="X175" s="185" t="s">
        <v>486</v>
      </c>
      <c r="Y175" s="263" t="s">
        <v>487</v>
      </c>
      <c r="Z175" s="214" t="s">
        <v>502</v>
      </c>
      <c r="AA175" s="126"/>
      <c r="AB175" s="126"/>
      <c r="AC175" s="126"/>
      <c r="AD175" s="185" t="s">
        <v>488</v>
      </c>
      <c r="AE175" s="126"/>
      <c r="AF175" s="126"/>
      <c r="AH175" s="262" t="s">
        <v>186</v>
      </c>
      <c r="AI175" s="278" t="s">
        <v>498</v>
      </c>
      <c r="AJ175" s="126" t="s">
        <v>490</v>
      </c>
      <c r="AK175" s="126"/>
      <c r="AL175" s="126"/>
      <c r="AM175" s="126"/>
      <c r="AN175" s="126"/>
      <c r="AO175" s="185" t="s">
        <v>491</v>
      </c>
      <c r="AP175" s="126" t="s">
        <v>499</v>
      </c>
      <c r="AQ175" s="126"/>
      <c r="AR175" s="126"/>
      <c r="AS175" s="185" t="s">
        <v>492</v>
      </c>
      <c r="AT175" s="185" t="s">
        <v>493</v>
      </c>
      <c r="AU175" s="126"/>
      <c r="AV175" s="126"/>
    </row>
    <row r="176" spans="2:48" ht="26.25" customHeight="1">
      <c r="B176" s="331"/>
      <c r="C176" s="122">
        <v>4</v>
      </c>
      <c r="D176" s="132" t="s">
        <v>503</v>
      </c>
      <c r="E176" s="126"/>
      <c r="F176" s="126" t="s">
        <v>504</v>
      </c>
      <c r="G176" s="126"/>
      <c r="H176" s="126"/>
      <c r="I176" s="312" t="s">
        <v>501</v>
      </c>
      <c r="J176" s="253" t="s">
        <v>344</v>
      </c>
      <c r="K176" s="126"/>
      <c r="L176" s="126"/>
      <c r="M176" s="126" t="s">
        <v>505</v>
      </c>
      <c r="N176" s="126" t="s">
        <v>506</v>
      </c>
      <c r="O176" s="71" t="s">
        <v>507</v>
      </c>
      <c r="P176" s="126" t="s">
        <v>508</v>
      </c>
      <c r="Q176" s="126" t="s">
        <v>509</v>
      </c>
      <c r="R176" s="126" t="s">
        <v>483</v>
      </c>
      <c r="S176" s="126" t="s">
        <v>510</v>
      </c>
      <c r="T176" s="126" t="s">
        <v>511</v>
      </c>
      <c r="U176" s="126"/>
      <c r="V176" s="126" t="s">
        <v>512</v>
      </c>
      <c r="W176" s="126" t="s">
        <v>513</v>
      </c>
      <c r="X176" s="126" t="s">
        <v>514</v>
      </c>
      <c r="Y176" s="126" t="s">
        <v>515</v>
      </c>
      <c r="Z176" s="263" t="s">
        <v>199</v>
      </c>
      <c r="AA176" s="126"/>
      <c r="AB176" s="262" t="s">
        <v>516</v>
      </c>
      <c r="AC176" s="126"/>
      <c r="AD176" s="278" t="s">
        <v>450</v>
      </c>
      <c r="AE176" s="185"/>
      <c r="AF176" s="126"/>
      <c r="AG176" s="70" t="s">
        <v>517</v>
      </c>
      <c r="AH176" s="126" t="s">
        <v>518</v>
      </c>
      <c r="AI176" s="278" t="s">
        <v>519</v>
      </c>
      <c r="AJ176" s="126" t="s">
        <v>520</v>
      </c>
      <c r="AK176" s="126"/>
      <c r="AL176" s="126"/>
      <c r="AM176" s="126"/>
      <c r="AN176" s="126"/>
      <c r="AO176" s="126"/>
      <c r="AP176" s="126" t="s">
        <v>521</v>
      </c>
      <c r="AQ176" s="262"/>
      <c r="AR176" s="126"/>
      <c r="AS176" s="126" t="s">
        <v>522</v>
      </c>
      <c r="AT176" s="126" t="s">
        <v>523</v>
      </c>
      <c r="AU176" s="126"/>
      <c r="AV176" s="126"/>
    </row>
    <row r="177" spans="2:48" ht="27" customHeight="1">
      <c r="B177" s="331"/>
      <c r="C177" s="122">
        <v>5</v>
      </c>
      <c r="D177" s="132" t="s">
        <v>524</v>
      </c>
      <c r="E177" s="126"/>
      <c r="F177" s="126" t="s">
        <v>504</v>
      </c>
      <c r="G177" s="126"/>
      <c r="H177" s="126"/>
      <c r="I177" s="312" t="s">
        <v>525</v>
      </c>
      <c r="J177" s="253" t="s">
        <v>344</v>
      </c>
      <c r="K177" s="126" t="s">
        <v>526</v>
      </c>
      <c r="L177" s="126"/>
      <c r="M177" s="126" t="s">
        <v>505</v>
      </c>
      <c r="N177" s="126" t="s">
        <v>506</v>
      </c>
      <c r="O177" s="71" t="s">
        <v>507</v>
      </c>
      <c r="P177" s="126" t="s">
        <v>508</v>
      </c>
      <c r="Q177" s="126" t="s">
        <v>509</v>
      </c>
      <c r="R177" s="126" t="s">
        <v>527</v>
      </c>
      <c r="S177" s="126" t="s">
        <v>510</v>
      </c>
      <c r="T177" s="126" t="s">
        <v>511</v>
      </c>
      <c r="U177" s="126"/>
      <c r="V177" s="126" t="s">
        <v>512</v>
      </c>
      <c r="W177" s="126" t="s">
        <v>513</v>
      </c>
      <c r="X177" s="126" t="s">
        <v>514</v>
      </c>
      <c r="Y177" s="126" t="s">
        <v>515</v>
      </c>
      <c r="Z177" s="263" t="s">
        <v>199</v>
      </c>
      <c r="AA177" s="126"/>
      <c r="AB177" s="262" t="s">
        <v>516</v>
      </c>
      <c r="AC177" s="126"/>
      <c r="AD177" s="126" t="s">
        <v>450</v>
      </c>
      <c r="AE177" s="126"/>
      <c r="AF177" s="126" t="s">
        <v>203</v>
      </c>
      <c r="AG177" s="70" t="s">
        <v>517</v>
      </c>
      <c r="AH177" s="126" t="s">
        <v>518</v>
      </c>
      <c r="AI177" s="278" t="s">
        <v>519</v>
      </c>
      <c r="AJ177" s="126" t="s">
        <v>520</v>
      </c>
      <c r="AK177" s="126"/>
      <c r="AL177" s="126"/>
      <c r="AM177" s="126"/>
      <c r="AN177" s="126"/>
      <c r="AO177" s="126"/>
      <c r="AP177" s="126" t="s">
        <v>521</v>
      </c>
      <c r="AQ177" s="280" t="s">
        <v>528</v>
      </c>
      <c r="AR177" s="126" t="s">
        <v>529</v>
      </c>
      <c r="AS177" s="126" t="s">
        <v>522</v>
      </c>
      <c r="AT177" s="126" t="s">
        <v>523</v>
      </c>
      <c r="AU177" s="126"/>
      <c r="AV177" s="126"/>
    </row>
    <row r="178" spans="2:48" ht="27" customHeight="1">
      <c r="B178" s="331"/>
      <c r="C178" s="122">
        <v>6</v>
      </c>
      <c r="D178" s="132" t="s">
        <v>530</v>
      </c>
      <c r="E178" s="126"/>
      <c r="F178" s="126" t="s">
        <v>504</v>
      </c>
      <c r="G178" s="126"/>
      <c r="H178" s="126"/>
      <c r="I178" s="126"/>
      <c r="J178" s="253" t="s">
        <v>344</v>
      </c>
      <c r="K178" s="126" t="s">
        <v>526</v>
      </c>
      <c r="L178" s="126"/>
      <c r="M178" s="126" t="s">
        <v>505</v>
      </c>
      <c r="N178" s="126" t="s">
        <v>506</v>
      </c>
      <c r="O178" s="71" t="s">
        <v>507</v>
      </c>
      <c r="P178" s="126" t="s">
        <v>508</v>
      </c>
      <c r="Q178" s="126" t="s">
        <v>509</v>
      </c>
      <c r="R178" s="126" t="s">
        <v>527</v>
      </c>
      <c r="S178" s="126" t="s">
        <v>510</v>
      </c>
      <c r="T178" s="126" t="s">
        <v>511</v>
      </c>
      <c r="U178" s="126"/>
      <c r="V178" s="126"/>
      <c r="W178" s="126" t="s">
        <v>513</v>
      </c>
      <c r="X178" s="126" t="s">
        <v>514</v>
      </c>
      <c r="Y178" s="126" t="s">
        <v>515</v>
      </c>
      <c r="Z178" s="263" t="s">
        <v>199</v>
      </c>
      <c r="AA178" s="126"/>
      <c r="AB178" s="262" t="s">
        <v>516</v>
      </c>
      <c r="AC178" s="126"/>
      <c r="AD178" s="126" t="s">
        <v>450</v>
      </c>
      <c r="AE178" s="126"/>
      <c r="AF178" s="126" t="s">
        <v>203</v>
      </c>
      <c r="AG178" s="70" t="s">
        <v>517</v>
      </c>
      <c r="AH178" s="126" t="s">
        <v>518</v>
      </c>
      <c r="AI178" s="278"/>
      <c r="AJ178" s="126" t="s">
        <v>520</v>
      </c>
      <c r="AK178" s="126"/>
      <c r="AL178" s="126"/>
      <c r="AM178" s="126"/>
      <c r="AN178" s="126"/>
      <c r="AO178" s="126"/>
      <c r="AP178" s="126" t="s">
        <v>521</v>
      </c>
      <c r="AQ178" s="280" t="s">
        <v>528</v>
      </c>
      <c r="AR178" s="126" t="s">
        <v>529</v>
      </c>
      <c r="AS178" s="126" t="s">
        <v>522</v>
      </c>
      <c r="AT178" s="126" t="s">
        <v>523</v>
      </c>
      <c r="AU178" s="126"/>
      <c r="AV178" s="126"/>
    </row>
    <row r="179" spans="2:48">
      <c r="B179" s="331"/>
      <c r="C179" s="122">
        <v>7</v>
      </c>
      <c r="D179" s="132" t="s">
        <v>531</v>
      </c>
      <c r="E179" s="126"/>
      <c r="F179" s="126" t="s">
        <v>504</v>
      </c>
      <c r="G179" s="126"/>
      <c r="H179" s="126"/>
      <c r="I179" s="126"/>
      <c r="J179" s="126"/>
      <c r="K179" s="126" t="s">
        <v>526</v>
      </c>
      <c r="L179" s="126"/>
      <c r="M179" s="126" t="s">
        <v>532</v>
      </c>
      <c r="O179" s="71" t="s">
        <v>533</v>
      </c>
      <c r="P179" s="126" t="s">
        <v>534</v>
      </c>
      <c r="Q179" s="126" t="s">
        <v>535</v>
      </c>
      <c r="R179" s="126" t="s">
        <v>527</v>
      </c>
      <c r="S179" s="126" t="s">
        <v>536</v>
      </c>
      <c r="T179" s="126" t="s">
        <v>528</v>
      </c>
      <c r="U179" s="126"/>
      <c r="V179" s="126"/>
      <c r="W179" s="126"/>
      <c r="Y179" s="257" t="s">
        <v>537</v>
      </c>
      <c r="Z179" s="262"/>
      <c r="AA179" s="126"/>
      <c r="AB179" s="126"/>
      <c r="AC179" s="126"/>
      <c r="AD179" s="126" t="s">
        <v>538</v>
      </c>
      <c r="AE179" s="126"/>
      <c r="AF179" s="126" t="s">
        <v>203</v>
      </c>
      <c r="AG179" s="70"/>
      <c r="AH179" s="126" t="s">
        <v>205</v>
      </c>
      <c r="AI179" s="278" t="s">
        <v>539</v>
      </c>
      <c r="AJ179" s="126" t="s">
        <v>540</v>
      </c>
      <c r="AK179" s="126"/>
      <c r="AL179" s="126"/>
      <c r="AM179" s="126"/>
      <c r="AN179" s="126"/>
      <c r="AO179" s="126"/>
      <c r="AP179" s="126"/>
      <c r="AQ179" s="126"/>
      <c r="AR179" s="126" t="s">
        <v>529</v>
      </c>
      <c r="AS179" s="126" t="s">
        <v>541</v>
      </c>
      <c r="AT179" s="126" t="s">
        <v>542</v>
      </c>
      <c r="AU179" s="126"/>
      <c r="AV179" s="126"/>
    </row>
    <row r="180" spans="2:48">
      <c r="B180" s="331"/>
      <c r="C180" s="122">
        <v>8</v>
      </c>
      <c r="D180" s="132" t="s">
        <v>543</v>
      </c>
      <c r="E180" s="126"/>
      <c r="F180" s="126"/>
      <c r="G180" s="126"/>
      <c r="H180" s="126"/>
      <c r="I180" s="126"/>
      <c r="J180" s="126"/>
      <c r="K180" s="126" t="s">
        <v>526</v>
      </c>
      <c r="L180" s="126"/>
      <c r="M180" s="126" t="s">
        <v>532</v>
      </c>
      <c r="O180" s="71" t="s">
        <v>533</v>
      </c>
      <c r="P180" s="126" t="s">
        <v>534</v>
      </c>
      <c r="Q180" s="126" t="s">
        <v>535</v>
      </c>
      <c r="R180" s="126"/>
      <c r="S180" s="126" t="s">
        <v>536</v>
      </c>
      <c r="T180" s="126" t="s">
        <v>528</v>
      </c>
      <c r="U180" s="126"/>
      <c r="V180" s="126"/>
      <c r="W180" s="126"/>
      <c r="Y180" s="257" t="s">
        <v>537</v>
      </c>
      <c r="Z180" s="262"/>
      <c r="AA180" s="126"/>
      <c r="AB180" s="126"/>
      <c r="AC180" s="126"/>
      <c r="AD180" s="126" t="s">
        <v>538</v>
      </c>
      <c r="AE180" s="126"/>
      <c r="AF180" s="126"/>
      <c r="AG180" s="276"/>
      <c r="AH180" s="126" t="s">
        <v>205</v>
      </c>
      <c r="AI180" s="278" t="s">
        <v>539</v>
      </c>
      <c r="AJ180" s="126" t="s">
        <v>540</v>
      </c>
      <c r="AK180" s="126"/>
      <c r="AL180" s="126"/>
      <c r="AM180" s="126"/>
      <c r="AN180" s="126"/>
      <c r="AO180" s="126"/>
      <c r="AP180" s="126"/>
      <c r="AQ180" s="126"/>
      <c r="AR180" s="126" t="s">
        <v>529</v>
      </c>
      <c r="AS180" s="126" t="s">
        <v>541</v>
      </c>
      <c r="AT180" s="126" t="s">
        <v>542</v>
      </c>
      <c r="AU180" s="126"/>
      <c r="AV180" s="126"/>
    </row>
    <row r="181" spans="2:48">
      <c r="B181" s="331"/>
      <c r="C181" s="122">
        <v>9</v>
      </c>
      <c r="D181" s="132" t="s">
        <v>544</v>
      </c>
      <c r="E181" s="126"/>
      <c r="F181" s="126"/>
      <c r="G181" s="126"/>
      <c r="H181" s="126"/>
      <c r="I181" s="126"/>
      <c r="J181" s="126"/>
      <c r="K181" s="126"/>
      <c r="L181" s="126"/>
      <c r="M181" s="126" t="s">
        <v>532</v>
      </c>
      <c r="N181" s="126"/>
      <c r="O181" s="71" t="s">
        <v>533</v>
      </c>
      <c r="P181" s="126" t="s">
        <v>534</v>
      </c>
      <c r="Q181" s="126" t="s">
        <v>535</v>
      </c>
      <c r="R181" s="126"/>
      <c r="S181" s="126"/>
      <c r="T181" s="126"/>
      <c r="U181" s="126"/>
      <c r="V181" s="126"/>
      <c r="W181" s="126"/>
      <c r="Y181" s="257" t="s">
        <v>537</v>
      </c>
      <c r="Z181" s="262"/>
      <c r="AA181" s="126"/>
      <c r="AB181" s="126"/>
      <c r="AC181" s="126"/>
      <c r="AD181" s="126" t="s">
        <v>538</v>
      </c>
      <c r="AE181" s="126"/>
      <c r="AF181" s="126"/>
      <c r="AG181" s="276"/>
      <c r="AH181" s="126" t="s">
        <v>205</v>
      </c>
      <c r="AI181" s="278" t="s">
        <v>539</v>
      </c>
      <c r="AJ181" s="126" t="s">
        <v>540</v>
      </c>
      <c r="AK181" s="126"/>
      <c r="AL181" s="126"/>
      <c r="AM181" s="126"/>
      <c r="AN181" s="126"/>
      <c r="AO181" s="126"/>
      <c r="AP181" s="126"/>
      <c r="AQ181" s="126"/>
      <c r="AR181" s="126" t="s">
        <v>529</v>
      </c>
      <c r="AS181" s="126" t="s">
        <v>541</v>
      </c>
      <c r="AT181" s="126" t="s">
        <v>542</v>
      </c>
      <c r="AU181" s="126"/>
      <c r="AV181" s="126"/>
    </row>
    <row r="182" spans="2:48" ht="15.95" customHeight="1">
      <c r="B182" s="331"/>
      <c r="C182" s="122">
        <v>10</v>
      </c>
      <c r="D182" s="132" t="s">
        <v>545</v>
      </c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278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276"/>
      <c r="AH182" s="126"/>
      <c r="AI182" s="278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</row>
    <row r="183" spans="2:48" ht="15.95" customHeight="1">
      <c r="B183" s="331"/>
      <c r="C183" s="122">
        <v>11</v>
      </c>
      <c r="D183" s="132" t="s">
        <v>546</v>
      </c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278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276"/>
      <c r="AH183" s="126"/>
      <c r="AI183" s="278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</row>
    <row r="184" spans="2:48" ht="15.95" customHeight="1">
      <c r="B184" s="332"/>
      <c r="C184" s="122">
        <v>12</v>
      </c>
      <c r="D184" s="132" t="s">
        <v>547</v>
      </c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278"/>
      <c r="P184" s="126"/>
      <c r="Q184" s="126"/>
      <c r="R184" s="126"/>
      <c r="S184" s="126"/>
      <c r="T184" s="126"/>
      <c r="U184" s="126"/>
      <c r="V184" s="126"/>
      <c r="W184" s="126"/>
      <c r="X184" s="126"/>
      <c r="Y184" s="304"/>
      <c r="Z184" s="126"/>
      <c r="AA184" s="126"/>
      <c r="AB184" s="126"/>
      <c r="AC184" s="126"/>
      <c r="AD184" s="126"/>
      <c r="AE184" s="126"/>
      <c r="AF184" s="126"/>
      <c r="AG184" s="276"/>
      <c r="AH184" s="126"/>
      <c r="AI184" s="278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</row>
    <row r="185" spans="2:48" s="28" customFormat="1" ht="24.75" customHeight="1">
      <c r="B185" s="327" t="s">
        <v>212</v>
      </c>
      <c r="C185" s="120">
        <v>1</v>
      </c>
      <c r="D185" s="121" t="s">
        <v>138</v>
      </c>
      <c r="E185" s="69"/>
      <c r="F185" s="69"/>
      <c r="G185" s="69"/>
      <c r="H185" s="69"/>
      <c r="I185" s="69"/>
      <c r="J185" s="69"/>
      <c r="K185" s="69" t="s">
        <v>548</v>
      </c>
      <c r="L185" s="70" t="s">
        <v>414</v>
      </c>
      <c r="M185" s="69"/>
      <c r="N185" s="69" t="s">
        <v>549</v>
      </c>
      <c r="O185" s="69" t="s">
        <v>550</v>
      </c>
      <c r="P185" s="69" t="s">
        <v>551</v>
      </c>
      <c r="Q185" s="264" t="s">
        <v>552</v>
      </c>
      <c r="R185" s="69" t="s">
        <v>352</v>
      </c>
      <c r="S185" s="69" t="s">
        <v>553</v>
      </c>
      <c r="T185" s="69" t="s">
        <v>554</v>
      </c>
      <c r="U185" s="69"/>
      <c r="V185" s="69"/>
      <c r="W185" s="69" t="s">
        <v>555</v>
      </c>
      <c r="X185" s="289" t="s">
        <v>556</v>
      </c>
      <c r="Y185" s="70"/>
      <c r="Z185" s="264" t="s">
        <v>557</v>
      </c>
      <c r="AA185" s="69"/>
      <c r="AB185" s="69"/>
      <c r="AC185" s="69"/>
      <c r="AD185" s="69" t="s">
        <v>558</v>
      </c>
      <c r="AE185" s="69" t="s">
        <v>559</v>
      </c>
      <c r="AF185" s="69" t="s">
        <v>560</v>
      </c>
      <c r="AG185" s="276"/>
      <c r="AH185" s="264" t="s">
        <v>222</v>
      </c>
      <c r="AI185" s="69"/>
      <c r="AJ185" s="69"/>
      <c r="AK185" s="69"/>
      <c r="AL185" s="69"/>
      <c r="AM185" s="69"/>
      <c r="AN185" s="69"/>
      <c r="AO185" s="69" t="s">
        <v>327</v>
      </c>
      <c r="AP185" s="69" t="s">
        <v>561</v>
      </c>
      <c r="AQ185" s="69"/>
      <c r="AR185" s="69"/>
      <c r="AS185" s="69" t="s">
        <v>562</v>
      </c>
      <c r="AT185" s="69" t="s">
        <v>563</v>
      </c>
      <c r="AU185" s="69"/>
      <c r="AV185" s="69"/>
    </row>
    <row r="186" spans="2:48" s="28" customFormat="1" ht="24.75" customHeight="1">
      <c r="B186" s="328"/>
      <c r="C186" s="120">
        <v>2</v>
      </c>
      <c r="D186" s="121" t="s">
        <v>146</v>
      </c>
      <c r="E186" s="69"/>
      <c r="F186" s="69"/>
      <c r="G186" s="69"/>
      <c r="H186" s="70" t="s">
        <v>564</v>
      </c>
      <c r="I186" s="69"/>
      <c r="J186" s="69"/>
      <c r="K186" s="69" t="s">
        <v>548</v>
      </c>
      <c r="L186" s="70" t="s">
        <v>414</v>
      </c>
      <c r="M186" s="69" t="s">
        <v>565</v>
      </c>
      <c r="N186" s="69" t="s">
        <v>549</v>
      </c>
      <c r="O186" s="69" t="s">
        <v>550</v>
      </c>
      <c r="P186" s="69" t="s">
        <v>551</v>
      </c>
      <c r="Q186" s="264" t="s">
        <v>552</v>
      </c>
      <c r="R186" s="69" t="s">
        <v>352</v>
      </c>
      <c r="S186" s="69" t="s">
        <v>553</v>
      </c>
      <c r="T186" s="69" t="s">
        <v>554</v>
      </c>
      <c r="U186" s="69"/>
      <c r="V186" s="70" t="s">
        <v>433</v>
      </c>
      <c r="W186" s="69" t="s">
        <v>555</v>
      </c>
      <c r="X186" s="289" t="s">
        <v>556</v>
      </c>
      <c r="Y186" s="70" t="s">
        <v>566</v>
      </c>
      <c r="Z186" s="264" t="s">
        <v>557</v>
      </c>
      <c r="AA186" s="69"/>
      <c r="AB186" s="69"/>
      <c r="AC186" s="69"/>
      <c r="AD186" s="69" t="s">
        <v>558</v>
      </c>
      <c r="AE186" s="69" t="s">
        <v>559</v>
      </c>
      <c r="AF186" s="69" t="s">
        <v>560</v>
      </c>
      <c r="AG186" s="276"/>
      <c r="AH186" s="264" t="s">
        <v>222</v>
      </c>
      <c r="AI186" s="69" t="s">
        <v>567</v>
      </c>
      <c r="AJ186" s="69"/>
      <c r="AK186" s="69"/>
      <c r="AL186" s="69"/>
      <c r="AM186" s="69"/>
      <c r="AN186" s="69"/>
      <c r="AO186" s="69" t="s">
        <v>327</v>
      </c>
      <c r="AP186" s="69" t="s">
        <v>561</v>
      </c>
      <c r="AQ186" s="69"/>
      <c r="AR186" s="69"/>
      <c r="AS186" s="69" t="s">
        <v>562</v>
      </c>
      <c r="AT186" s="69" t="s">
        <v>563</v>
      </c>
      <c r="AU186" s="69"/>
      <c r="AV186" s="69"/>
    </row>
    <row r="187" spans="2:48" s="28" customFormat="1" ht="24.75" customHeight="1">
      <c r="B187" s="328"/>
      <c r="C187" s="120">
        <v>3</v>
      </c>
      <c r="D187" s="121" t="s">
        <v>149</v>
      </c>
      <c r="E187" s="69"/>
      <c r="F187" s="69"/>
      <c r="G187" s="69"/>
      <c r="H187" s="70" t="s">
        <v>564</v>
      </c>
      <c r="I187" s="69"/>
      <c r="J187" s="69"/>
      <c r="K187" s="69"/>
      <c r="L187" s="70" t="s">
        <v>414</v>
      </c>
      <c r="M187" s="69" t="s">
        <v>565</v>
      </c>
      <c r="N187" s="69" t="s">
        <v>549</v>
      </c>
      <c r="O187" s="69" t="s">
        <v>550</v>
      </c>
      <c r="P187" s="69" t="s">
        <v>551</v>
      </c>
      <c r="Q187" s="264" t="s">
        <v>552</v>
      </c>
      <c r="R187" s="69" t="s">
        <v>352</v>
      </c>
      <c r="S187" s="69" t="s">
        <v>553</v>
      </c>
      <c r="T187" s="69" t="s">
        <v>554</v>
      </c>
      <c r="U187" s="69"/>
      <c r="V187" s="70" t="s">
        <v>433</v>
      </c>
      <c r="W187" s="69" t="s">
        <v>555</v>
      </c>
      <c r="X187" s="289" t="s">
        <v>556</v>
      </c>
      <c r="Y187" s="70" t="s">
        <v>566</v>
      </c>
      <c r="Z187" s="264" t="s">
        <v>557</v>
      </c>
      <c r="AA187" s="69"/>
      <c r="AB187" s="69"/>
      <c r="AC187" s="69"/>
      <c r="AD187" s="69" t="s">
        <v>558</v>
      </c>
      <c r="AE187" s="69" t="s">
        <v>559</v>
      </c>
      <c r="AF187" s="69" t="s">
        <v>560</v>
      </c>
      <c r="AG187" s="276" t="s">
        <v>568</v>
      </c>
      <c r="AH187" s="264" t="s">
        <v>222</v>
      </c>
      <c r="AI187" s="69" t="s">
        <v>567</v>
      </c>
      <c r="AJ187" s="69"/>
      <c r="AK187" s="69"/>
      <c r="AL187" s="69"/>
      <c r="AM187" s="69"/>
      <c r="AN187" s="69"/>
      <c r="AO187" s="69" t="s">
        <v>327</v>
      </c>
      <c r="AP187" s="69" t="s">
        <v>561</v>
      </c>
      <c r="AQ187" s="69"/>
      <c r="AR187" s="69"/>
      <c r="AS187" s="69" t="s">
        <v>562</v>
      </c>
      <c r="AT187" s="69" t="s">
        <v>563</v>
      </c>
      <c r="AU187" s="69"/>
      <c r="AV187" s="69"/>
    </row>
    <row r="188" spans="2:48" s="28" customFormat="1" ht="24">
      <c r="B188" s="328"/>
      <c r="C188" s="120">
        <v>4</v>
      </c>
      <c r="D188" s="121" t="s">
        <v>152</v>
      </c>
      <c r="E188" s="69"/>
      <c r="F188" s="69"/>
      <c r="G188" s="69"/>
      <c r="H188" s="189" t="s">
        <v>362</v>
      </c>
      <c r="I188" s="69"/>
      <c r="J188" s="69"/>
      <c r="K188" s="69"/>
      <c r="L188" s="70" t="s">
        <v>414</v>
      </c>
      <c r="M188" s="69" t="s">
        <v>569</v>
      </c>
      <c r="N188" s="69" t="s">
        <v>570</v>
      </c>
      <c r="O188" s="69" t="s">
        <v>571</v>
      </c>
      <c r="P188" s="69" t="s">
        <v>572</v>
      </c>
      <c r="Q188" s="264" t="s">
        <v>573</v>
      </c>
      <c r="R188" s="69" t="s">
        <v>483</v>
      </c>
      <c r="S188" s="69" t="s">
        <v>496</v>
      </c>
      <c r="T188" s="69" t="s">
        <v>574</v>
      </c>
      <c r="U188" s="69"/>
      <c r="V188" s="69" t="s">
        <v>575</v>
      </c>
      <c r="W188" s="69" t="s">
        <v>576</v>
      </c>
      <c r="X188" s="69" t="s">
        <v>577</v>
      </c>
      <c r="Y188" s="305" t="s">
        <v>578</v>
      </c>
      <c r="Z188" s="264" t="s">
        <v>579</v>
      </c>
      <c r="AA188" s="69"/>
      <c r="AB188" s="69"/>
      <c r="AC188" s="289"/>
      <c r="AD188" s="69" t="s">
        <v>580</v>
      </c>
      <c r="AE188" s="290" t="s">
        <v>581</v>
      </c>
      <c r="AF188" s="69"/>
      <c r="AG188" s="276" t="s">
        <v>156</v>
      </c>
      <c r="AH188" s="69" t="s">
        <v>582</v>
      </c>
      <c r="AI188" s="69"/>
      <c r="AJ188" s="69"/>
      <c r="AK188" s="69"/>
      <c r="AL188" s="69"/>
      <c r="AM188" s="69"/>
      <c r="AN188" s="69"/>
      <c r="AO188" s="69" t="s">
        <v>583</v>
      </c>
      <c r="AP188" s="69" t="s">
        <v>584</v>
      </c>
      <c r="AQ188" s="264" t="s">
        <v>585</v>
      </c>
      <c r="AR188" s="69"/>
      <c r="AS188" s="69" t="s">
        <v>586</v>
      </c>
      <c r="AT188" s="69" t="s">
        <v>587</v>
      </c>
      <c r="AU188" s="69"/>
      <c r="AV188" s="69"/>
    </row>
    <row r="189" spans="2:48" s="28" customFormat="1" ht="24">
      <c r="B189" s="328"/>
      <c r="C189" s="120">
        <v>5</v>
      </c>
      <c r="D189" s="121" t="s">
        <v>162</v>
      </c>
      <c r="E189" s="69"/>
      <c r="F189" s="69"/>
      <c r="G189" s="69"/>
      <c r="H189" s="189" t="s">
        <v>588</v>
      </c>
      <c r="I189" s="69"/>
      <c r="J189" s="69"/>
      <c r="K189" s="69"/>
      <c r="L189" s="69"/>
      <c r="M189" s="69" t="s">
        <v>569</v>
      </c>
      <c r="N189" s="69" t="s">
        <v>570</v>
      </c>
      <c r="O189" s="69" t="s">
        <v>571</v>
      </c>
      <c r="P189" s="69" t="s">
        <v>572</v>
      </c>
      <c r="Q189" s="264" t="s">
        <v>573</v>
      </c>
      <c r="R189" s="69" t="s">
        <v>483</v>
      </c>
      <c r="S189" s="69" t="s">
        <v>496</v>
      </c>
      <c r="T189" s="69" t="s">
        <v>574</v>
      </c>
      <c r="U189" s="69"/>
      <c r="V189" s="69" t="s">
        <v>575</v>
      </c>
      <c r="W189" s="69" t="s">
        <v>576</v>
      </c>
      <c r="X189" s="69" t="s">
        <v>589</v>
      </c>
      <c r="Y189" s="69" t="s">
        <v>578</v>
      </c>
      <c r="Z189" s="264" t="s">
        <v>579</v>
      </c>
      <c r="AA189" s="69"/>
      <c r="AB189" s="69"/>
      <c r="AC189" s="289"/>
      <c r="AD189" s="69" t="s">
        <v>580</v>
      </c>
      <c r="AE189" s="290" t="s">
        <v>581</v>
      </c>
      <c r="AF189" s="69" t="s">
        <v>234</v>
      </c>
      <c r="AG189" s="276" t="s">
        <v>156</v>
      </c>
      <c r="AH189" s="69" t="s">
        <v>582</v>
      </c>
      <c r="AI189" s="69"/>
      <c r="AJ189" s="69"/>
      <c r="AK189" s="69"/>
      <c r="AL189" s="69"/>
      <c r="AM189" s="69"/>
      <c r="AN189" s="69"/>
      <c r="AO189" s="69" t="s">
        <v>583</v>
      </c>
      <c r="AP189" s="69" t="s">
        <v>584</v>
      </c>
      <c r="AQ189" s="264" t="s">
        <v>585</v>
      </c>
      <c r="AR189" s="69"/>
      <c r="AS189" s="69" t="s">
        <v>586</v>
      </c>
      <c r="AT189" s="69" t="s">
        <v>587</v>
      </c>
      <c r="AU189" s="69"/>
      <c r="AV189" s="69"/>
    </row>
    <row r="190" spans="2:48" s="28" customFormat="1" ht="24">
      <c r="B190" s="328"/>
      <c r="C190" s="120">
        <v>6</v>
      </c>
      <c r="D190" s="121" t="s">
        <v>164</v>
      </c>
      <c r="E190" s="69"/>
      <c r="F190" s="69"/>
      <c r="G190" s="69"/>
      <c r="H190" s="69"/>
      <c r="I190" s="69"/>
      <c r="J190" s="69"/>
      <c r="K190" s="69"/>
      <c r="L190" s="69"/>
      <c r="M190" s="69" t="s">
        <v>569</v>
      </c>
      <c r="N190" s="69"/>
      <c r="O190" s="69" t="s">
        <v>571</v>
      </c>
      <c r="P190" s="69" t="s">
        <v>572</v>
      </c>
      <c r="Q190" s="264" t="s">
        <v>573</v>
      </c>
      <c r="R190" s="69" t="s">
        <v>483</v>
      </c>
      <c r="S190" s="69" t="s">
        <v>496</v>
      </c>
      <c r="T190" s="69" t="s">
        <v>574</v>
      </c>
      <c r="U190" s="69"/>
      <c r="V190" s="69"/>
      <c r="W190" s="69" t="s">
        <v>576</v>
      </c>
      <c r="X190" s="69" t="s">
        <v>590</v>
      </c>
      <c r="Y190" s="69" t="s">
        <v>578</v>
      </c>
      <c r="Z190" s="264" t="s">
        <v>579</v>
      </c>
      <c r="AA190" s="69"/>
      <c r="AB190" s="69"/>
      <c r="AC190" s="289"/>
      <c r="AD190" s="69" t="s">
        <v>580</v>
      </c>
      <c r="AE190" s="290" t="s">
        <v>581</v>
      </c>
      <c r="AF190" s="69" t="s">
        <v>234</v>
      </c>
      <c r="AG190" s="276" t="s">
        <v>156</v>
      </c>
      <c r="AH190" s="69" t="s">
        <v>582</v>
      </c>
      <c r="AI190" s="69"/>
      <c r="AJ190" s="69"/>
      <c r="AK190" s="69"/>
      <c r="AL190" s="69"/>
      <c r="AM190" s="69"/>
      <c r="AN190" s="69"/>
      <c r="AO190" s="69" t="s">
        <v>583</v>
      </c>
      <c r="AP190" s="69" t="s">
        <v>584</v>
      </c>
      <c r="AQ190" s="264" t="s">
        <v>585</v>
      </c>
      <c r="AR190" s="69"/>
      <c r="AS190" s="69" t="s">
        <v>586</v>
      </c>
      <c r="AT190" s="69" t="s">
        <v>587</v>
      </c>
      <c r="AU190" s="69"/>
      <c r="AV190" s="69"/>
    </row>
    <row r="191" spans="2:48" s="28" customFormat="1" ht="15.95" customHeight="1">
      <c r="B191" s="328"/>
      <c r="C191" s="120">
        <v>7</v>
      </c>
      <c r="D191" s="121" t="s">
        <v>165</v>
      </c>
      <c r="E191" s="69"/>
      <c r="F191" s="69"/>
      <c r="G191" s="69"/>
      <c r="H191" s="69"/>
      <c r="I191" s="69"/>
      <c r="J191" s="69"/>
      <c r="K191" s="69" t="s">
        <v>591</v>
      </c>
      <c r="L191" s="69"/>
      <c r="M191" s="69" t="s">
        <v>592</v>
      </c>
      <c r="N191" s="69" t="s">
        <v>593</v>
      </c>
      <c r="O191" s="69" t="s">
        <v>594</v>
      </c>
      <c r="P191" s="69" t="s">
        <v>595</v>
      </c>
      <c r="Q191" s="69"/>
      <c r="R191" s="69" t="s">
        <v>483</v>
      </c>
      <c r="S191" s="69" t="s">
        <v>596</v>
      </c>
      <c r="T191" s="69" t="s">
        <v>597</v>
      </c>
      <c r="U191" s="69"/>
      <c r="V191" s="69" t="s">
        <v>598</v>
      </c>
      <c r="W191" s="69" t="s">
        <v>599</v>
      </c>
      <c r="X191" s="69"/>
      <c r="Y191" s="69" t="s">
        <v>600</v>
      </c>
      <c r="Z191" s="69" t="s">
        <v>601</v>
      </c>
      <c r="AA191" s="69"/>
      <c r="AB191" s="69"/>
      <c r="AC191" s="289"/>
      <c r="AD191" s="69" t="s">
        <v>602</v>
      </c>
      <c r="AE191" s="290"/>
      <c r="AF191" s="69" t="s">
        <v>234</v>
      </c>
      <c r="AG191" s="276" t="s">
        <v>156</v>
      </c>
      <c r="AH191" s="69" t="s">
        <v>603</v>
      </c>
      <c r="AI191" s="69" t="s">
        <v>604</v>
      </c>
      <c r="AJ191" s="69"/>
      <c r="AK191" s="69"/>
      <c r="AL191" s="69"/>
      <c r="AM191" s="69"/>
      <c r="AN191" s="69"/>
      <c r="AO191" s="69"/>
      <c r="AP191" s="69"/>
      <c r="AQ191" s="69"/>
      <c r="AR191" s="69"/>
      <c r="AS191" s="69" t="s">
        <v>605</v>
      </c>
      <c r="AT191" s="69" t="s">
        <v>606</v>
      </c>
      <c r="AU191" s="69"/>
      <c r="AV191" s="69"/>
    </row>
    <row r="192" spans="2:48" s="28" customFormat="1" ht="15.95" customHeight="1">
      <c r="B192" s="328"/>
      <c r="C192" s="120">
        <v>8</v>
      </c>
      <c r="D192" s="121" t="s">
        <v>169</v>
      </c>
      <c r="E192" s="69"/>
      <c r="F192" s="69"/>
      <c r="G192" s="69"/>
      <c r="H192" s="69"/>
      <c r="I192" s="69"/>
      <c r="J192" s="69"/>
      <c r="K192" s="69" t="s">
        <v>607</v>
      </c>
      <c r="L192" s="69"/>
      <c r="M192" s="69" t="s">
        <v>592</v>
      </c>
      <c r="N192" s="69" t="s">
        <v>593</v>
      </c>
      <c r="O192" s="69" t="s">
        <v>594</v>
      </c>
      <c r="P192" s="69" t="s">
        <v>595</v>
      </c>
      <c r="Q192" s="69"/>
      <c r="R192" s="69"/>
      <c r="S192" s="69" t="s">
        <v>596</v>
      </c>
      <c r="T192" s="69" t="s">
        <v>597</v>
      </c>
      <c r="U192" s="69"/>
      <c r="V192" s="69" t="s">
        <v>598</v>
      </c>
      <c r="W192" s="69" t="s">
        <v>599</v>
      </c>
      <c r="X192" s="69"/>
      <c r="Y192" s="69" t="s">
        <v>600</v>
      </c>
      <c r="Z192" s="69" t="s">
        <v>601</v>
      </c>
      <c r="AA192" s="69"/>
      <c r="AB192" s="69"/>
      <c r="AC192" s="289"/>
      <c r="AD192" s="69" t="s">
        <v>602</v>
      </c>
      <c r="AE192" s="290"/>
      <c r="AF192" s="69"/>
      <c r="AG192" s="276" t="s">
        <v>568</v>
      </c>
      <c r="AH192" s="69" t="s">
        <v>603</v>
      </c>
      <c r="AI192" s="69" t="s">
        <v>604</v>
      </c>
      <c r="AJ192" s="69"/>
      <c r="AK192" s="69"/>
      <c r="AL192" s="69"/>
      <c r="AM192" s="69"/>
      <c r="AN192" s="69"/>
      <c r="AO192" s="69"/>
      <c r="AP192" s="69"/>
      <c r="AQ192" s="69"/>
      <c r="AR192" s="69"/>
      <c r="AS192" s="69" t="s">
        <v>605</v>
      </c>
      <c r="AT192" s="69" t="s">
        <v>606</v>
      </c>
      <c r="AU192" s="69"/>
      <c r="AV192" s="69"/>
    </row>
    <row r="193" spans="2:48" s="28" customFormat="1" ht="15.95" customHeight="1">
      <c r="B193" s="328"/>
      <c r="C193" s="120">
        <v>9</v>
      </c>
      <c r="D193" s="121" t="s">
        <v>172</v>
      </c>
      <c r="E193" s="69"/>
      <c r="F193" s="69"/>
      <c r="G193" s="69"/>
      <c r="H193" s="69"/>
      <c r="I193" s="69"/>
      <c r="J193" s="69"/>
      <c r="K193" s="69"/>
      <c r="L193" s="69"/>
      <c r="M193" s="69" t="s">
        <v>592</v>
      </c>
      <c r="N193" s="69" t="s">
        <v>593</v>
      </c>
      <c r="O193" s="69" t="s">
        <v>594</v>
      </c>
      <c r="P193" s="69" t="s">
        <v>595</v>
      </c>
      <c r="Q193" s="69"/>
      <c r="R193" s="69"/>
      <c r="S193" s="69"/>
      <c r="T193" s="69" t="s">
        <v>597</v>
      </c>
      <c r="U193" s="69"/>
      <c r="V193" s="69" t="s">
        <v>598</v>
      </c>
      <c r="W193" s="69" t="s">
        <v>599</v>
      </c>
      <c r="X193" s="69"/>
      <c r="Y193" s="69" t="s">
        <v>600</v>
      </c>
      <c r="Z193" s="69"/>
      <c r="AA193" s="69"/>
      <c r="AB193" s="69"/>
      <c r="AC193" s="289"/>
      <c r="AD193" s="69" t="s">
        <v>602</v>
      </c>
      <c r="AE193" s="290"/>
      <c r="AF193" s="69"/>
      <c r="AG193" s="276"/>
      <c r="AH193" s="69" t="s">
        <v>603</v>
      </c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 t="s">
        <v>605</v>
      </c>
      <c r="AT193" s="69" t="s">
        <v>606</v>
      </c>
      <c r="AU193" s="69"/>
      <c r="AV193" s="69"/>
    </row>
    <row r="194" spans="2:48" s="28" customFormat="1" ht="15.95" customHeight="1">
      <c r="B194" s="328"/>
      <c r="C194" s="120">
        <v>10</v>
      </c>
      <c r="D194" s="121" t="s">
        <v>174</v>
      </c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289"/>
      <c r="AD194" s="69"/>
      <c r="AE194" s="290"/>
      <c r="AF194" s="69"/>
      <c r="AG194" s="276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</row>
    <row r="195" spans="2:48" s="28" customFormat="1" ht="15.95" customHeight="1">
      <c r="B195" s="328"/>
      <c r="C195" s="120">
        <v>11</v>
      </c>
      <c r="D195" s="121" t="s">
        <v>177</v>
      </c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289"/>
      <c r="AD195" s="69"/>
      <c r="AE195" s="290"/>
      <c r="AF195" s="69"/>
      <c r="AG195" s="276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</row>
    <row r="196" spans="2:48" s="28" customFormat="1" ht="15.95" customHeight="1">
      <c r="B196" s="329"/>
      <c r="C196" s="120">
        <v>12</v>
      </c>
      <c r="D196" s="121" t="s">
        <v>178</v>
      </c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289"/>
      <c r="AD196" s="69"/>
      <c r="AE196" s="290"/>
      <c r="AF196" s="69"/>
      <c r="AG196" s="276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</row>
    <row r="197" spans="2:48" ht="27.75" customHeight="1">
      <c r="B197" s="330" t="s">
        <v>244</v>
      </c>
      <c r="C197" s="122">
        <v>1</v>
      </c>
      <c r="D197" s="132" t="s">
        <v>477</v>
      </c>
      <c r="E197" s="71"/>
      <c r="F197" s="71"/>
      <c r="G197" s="71"/>
      <c r="H197" s="71"/>
      <c r="I197" s="214" t="s">
        <v>608</v>
      </c>
      <c r="J197" s="214" t="s">
        <v>609</v>
      </c>
      <c r="K197" s="279" t="s">
        <v>610</v>
      </c>
      <c r="L197" s="71"/>
      <c r="M197" s="71"/>
      <c r="N197" s="71" t="s">
        <v>611</v>
      </c>
      <c r="O197" s="71" t="s">
        <v>612</v>
      </c>
      <c r="P197" s="71" t="s">
        <v>613</v>
      </c>
      <c r="Q197" s="71" t="s">
        <v>614</v>
      </c>
      <c r="R197" s="71"/>
      <c r="S197" s="71"/>
      <c r="T197" s="71" t="s">
        <v>615</v>
      </c>
      <c r="U197" s="71"/>
      <c r="V197" s="71" t="s">
        <v>616</v>
      </c>
      <c r="W197" s="71" t="s">
        <v>617</v>
      </c>
      <c r="X197" s="71" t="s">
        <v>618</v>
      </c>
      <c r="Y197" s="71" t="s">
        <v>619</v>
      </c>
      <c r="Z197" s="265"/>
      <c r="AA197" s="71"/>
      <c r="AB197" s="71"/>
      <c r="AC197" s="187"/>
      <c r="AD197" s="71" t="s">
        <v>620</v>
      </c>
      <c r="AE197" s="188" t="s">
        <v>621</v>
      </c>
      <c r="AF197" s="71" t="s">
        <v>622</v>
      </c>
      <c r="AG197" s="276"/>
      <c r="AH197" s="71"/>
      <c r="AI197" s="71"/>
      <c r="AJ197" s="71"/>
      <c r="AK197" s="71"/>
      <c r="AL197" s="71"/>
      <c r="AM197" s="71"/>
      <c r="AN197" s="71"/>
      <c r="AO197" s="71"/>
      <c r="AP197" s="71" t="s">
        <v>623</v>
      </c>
      <c r="AQ197" s="71" t="s">
        <v>624</v>
      </c>
      <c r="AR197" s="71" t="s">
        <v>625</v>
      </c>
      <c r="AS197" s="71" t="s">
        <v>626</v>
      </c>
      <c r="AT197" s="71" t="s">
        <v>627</v>
      </c>
      <c r="AU197" s="71"/>
      <c r="AV197" s="71"/>
    </row>
    <row r="198" spans="2:48" ht="15.95" customHeight="1">
      <c r="B198" s="331"/>
      <c r="C198" s="122">
        <v>2</v>
      </c>
      <c r="D198" s="132" t="s">
        <v>494</v>
      </c>
      <c r="E198" s="71"/>
      <c r="F198" s="71"/>
      <c r="G198" s="71"/>
      <c r="H198" s="71"/>
      <c r="I198" s="214" t="s">
        <v>608</v>
      </c>
      <c r="J198" s="214" t="s">
        <v>609</v>
      </c>
      <c r="K198" s="279" t="s">
        <v>610</v>
      </c>
      <c r="L198" s="71"/>
      <c r="M198" s="71" t="s">
        <v>567</v>
      </c>
      <c r="N198" s="71" t="s">
        <v>611</v>
      </c>
      <c r="O198" s="71" t="s">
        <v>612</v>
      </c>
      <c r="P198" s="71" t="s">
        <v>613</v>
      </c>
      <c r="Q198" s="71" t="s">
        <v>614</v>
      </c>
      <c r="R198" s="71" t="s">
        <v>628</v>
      </c>
      <c r="S198" s="71" t="s">
        <v>510</v>
      </c>
      <c r="T198" s="71" t="s">
        <v>615</v>
      </c>
      <c r="U198" s="71"/>
      <c r="V198" s="71" t="s">
        <v>616</v>
      </c>
      <c r="W198" s="71" t="s">
        <v>617</v>
      </c>
      <c r="X198" s="71" t="s">
        <v>618</v>
      </c>
      <c r="Y198" s="71" t="s">
        <v>619</v>
      </c>
      <c r="Z198" s="265"/>
      <c r="AA198" s="71"/>
      <c r="AB198" s="71"/>
      <c r="AC198" s="187"/>
      <c r="AD198" s="71" t="s">
        <v>620</v>
      </c>
      <c r="AE198" s="188" t="s">
        <v>621</v>
      </c>
      <c r="AF198" s="71" t="s">
        <v>622</v>
      </c>
      <c r="AG198" s="276" t="s">
        <v>629</v>
      </c>
      <c r="AH198" s="71" t="s">
        <v>630</v>
      </c>
      <c r="AI198" s="71"/>
      <c r="AJ198" s="71"/>
      <c r="AK198" s="71"/>
      <c r="AL198" s="71"/>
      <c r="AM198" s="71"/>
      <c r="AN198" s="71"/>
      <c r="AO198" s="71"/>
      <c r="AP198" s="71" t="s">
        <v>623</v>
      </c>
      <c r="AQ198" s="71" t="s">
        <v>624</v>
      </c>
      <c r="AR198" s="71" t="s">
        <v>625</v>
      </c>
      <c r="AS198" s="71" t="s">
        <v>626</v>
      </c>
      <c r="AT198" s="71" t="s">
        <v>627</v>
      </c>
      <c r="AU198" s="71"/>
      <c r="AV198" s="71"/>
    </row>
    <row r="199" spans="2:48" ht="15.95" customHeight="1">
      <c r="B199" s="331"/>
      <c r="C199" s="122">
        <v>3</v>
      </c>
      <c r="D199" s="132" t="s">
        <v>500</v>
      </c>
      <c r="E199" s="71"/>
      <c r="F199" s="71"/>
      <c r="G199" s="71"/>
      <c r="H199" s="71"/>
      <c r="I199" s="214" t="s">
        <v>608</v>
      </c>
      <c r="J199" s="214" t="s">
        <v>609</v>
      </c>
      <c r="K199" s="279" t="s">
        <v>610</v>
      </c>
      <c r="L199" s="71"/>
      <c r="M199" s="71" t="s">
        <v>567</v>
      </c>
      <c r="N199" s="71" t="s">
        <v>611</v>
      </c>
      <c r="O199" s="71" t="s">
        <v>612</v>
      </c>
      <c r="P199" s="71" t="s">
        <v>613</v>
      </c>
      <c r="Q199" s="71" t="s">
        <v>614</v>
      </c>
      <c r="R199" s="71" t="s">
        <v>628</v>
      </c>
      <c r="S199" s="71" t="s">
        <v>510</v>
      </c>
      <c r="T199" s="71" t="s">
        <v>615</v>
      </c>
      <c r="U199" s="71"/>
      <c r="V199" s="71" t="s">
        <v>616</v>
      </c>
      <c r="W199" s="71" t="s">
        <v>617</v>
      </c>
      <c r="X199" s="71" t="s">
        <v>618</v>
      </c>
      <c r="Y199" s="221" t="s">
        <v>619</v>
      </c>
      <c r="Z199" s="265"/>
      <c r="AA199" s="71"/>
      <c r="AB199" s="71"/>
      <c r="AC199" s="187"/>
      <c r="AD199" s="71" t="s">
        <v>620</v>
      </c>
      <c r="AE199" s="188" t="s">
        <v>621</v>
      </c>
      <c r="AF199" s="71" t="s">
        <v>622</v>
      </c>
      <c r="AG199" s="276" t="s">
        <v>629</v>
      </c>
      <c r="AH199" s="71" t="s">
        <v>630</v>
      </c>
      <c r="AI199" s="71"/>
      <c r="AJ199" s="71" t="s">
        <v>631</v>
      </c>
      <c r="AK199" s="71"/>
      <c r="AL199" s="71"/>
      <c r="AM199" s="71"/>
      <c r="AN199" s="71"/>
      <c r="AO199" s="71"/>
      <c r="AP199" s="71" t="s">
        <v>623</v>
      </c>
      <c r="AQ199" s="71" t="s">
        <v>624</v>
      </c>
      <c r="AR199" s="71" t="s">
        <v>625</v>
      </c>
      <c r="AS199" s="71" t="s">
        <v>626</v>
      </c>
      <c r="AT199" s="71" t="s">
        <v>627</v>
      </c>
      <c r="AU199" s="71"/>
      <c r="AV199" s="71"/>
    </row>
    <row r="200" spans="2:48" ht="23.25" customHeight="1">
      <c r="B200" s="331"/>
      <c r="C200" s="122">
        <v>4</v>
      </c>
      <c r="D200" s="132" t="s">
        <v>503</v>
      </c>
      <c r="E200" s="71"/>
      <c r="F200" s="71"/>
      <c r="G200" s="71"/>
      <c r="H200" s="71"/>
      <c r="I200" s="71"/>
      <c r="J200" s="71" t="s">
        <v>384</v>
      </c>
      <c r="K200" s="71"/>
      <c r="L200" s="71"/>
      <c r="M200" s="71" t="s">
        <v>632</v>
      </c>
      <c r="N200" s="71" t="s">
        <v>633</v>
      </c>
      <c r="O200" s="71" t="s">
        <v>634</v>
      </c>
      <c r="P200" s="214" t="s">
        <v>635</v>
      </c>
      <c r="Q200" s="71" t="s">
        <v>636</v>
      </c>
      <c r="R200" s="71" t="s">
        <v>628</v>
      </c>
      <c r="S200" s="71" t="s">
        <v>510</v>
      </c>
      <c r="T200" s="71" t="s">
        <v>637</v>
      </c>
      <c r="U200" s="71"/>
      <c r="V200" s="71" t="s">
        <v>638</v>
      </c>
      <c r="W200" s="71" t="s">
        <v>639</v>
      </c>
      <c r="X200" s="187" t="s">
        <v>640</v>
      </c>
      <c r="Y200" s="71" t="s">
        <v>641</v>
      </c>
      <c r="Z200" s="265" t="s">
        <v>642</v>
      </c>
      <c r="AA200" s="71"/>
      <c r="AB200" s="71"/>
      <c r="AC200" s="187"/>
      <c r="AD200" s="71" t="s">
        <v>643</v>
      </c>
      <c r="AE200" s="188"/>
      <c r="AF200" s="71" t="s">
        <v>644</v>
      </c>
      <c r="AG200" s="283"/>
      <c r="AH200" s="71" t="s">
        <v>645</v>
      </c>
      <c r="AI200" s="71"/>
      <c r="AJ200" s="71" t="s">
        <v>631</v>
      </c>
      <c r="AK200" s="71"/>
      <c r="AL200" s="71"/>
      <c r="AM200" s="71"/>
      <c r="AN200" s="71"/>
      <c r="AO200" s="71" t="s">
        <v>646</v>
      </c>
      <c r="AP200" s="71" t="s">
        <v>521</v>
      </c>
      <c r="AQ200" s="189" t="s">
        <v>647</v>
      </c>
      <c r="AR200" s="71"/>
      <c r="AS200" s="71" t="s">
        <v>648</v>
      </c>
      <c r="AT200" s="71" t="s">
        <v>649</v>
      </c>
      <c r="AU200" s="71"/>
      <c r="AV200" s="71"/>
    </row>
    <row r="201" spans="2:48" ht="23.25" customHeight="1">
      <c r="B201" s="331"/>
      <c r="C201" s="122">
        <v>5</v>
      </c>
      <c r="D201" s="132" t="s">
        <v>524</v>
      </c>
      <c r="E201" s="71"/>
      <c r="F201" s="71"/>
      <c r="G201" s="71"/>
      <c r="H201" s="71"/>
      <c r="I201" s="71" t="s">
        <v>650</v>
      </c>
      <c r="J201" s="71" t="s">
        <v>384</v>
      </c>
      <c r="K201" s="70" t="s">
        <v>459</v>
      </c>
      <c r="L201" s="71" t="s">
        <v>460</v>
      </c>
      <c r="M201" s="71" t="s">
        <v>632</v>
      </c>
      <c r="N201" s="71" t="s">
        <v>633</v>
      </c>
      <c r="O201" s="71" t="s">
        <v>634</v>
      </c>
      <c r="P201" s="214" t="s">
        <v>635</v>
      </c>
      <c r="Q201" s="71" t="s">
        <v>636</v>
      </c>
      <c r="R201" s="71" t="s">
        <v>628</v>
      </c>
      <c r="S201" s="71" t="s">
        <v>651</v>
      </c>
      <c r="T201" s="71" t="s">
        <v>637</v>
      </c>
      <c r="U201" s="71"/>
      <c r="V201" s="71" t="s">
        <v>638</v>
      </c>
      <c r="W201" s="71" t="s">
        <v>639</v>
      </c>
      <c r="X201" s="71" t="s">
        <v>640</v>
      </c>
      <c r="Y201" s="71" t="s">
        <v>641</v>
      </c>
      <c r="Z201" s="265" t="s">
        <v>642</v>
      </c>
      <c r="AA201" s="71"/>
      <c r="AB201" s="71"/>
      <c r="AC201" s="187"/>
      <c r="AD201" s="71" t="s">
        <v>643</v>
      </c>
      <c r="AE201" s="188"/>
      <c r="AF201" s="71" t="s">
        <v>644</v>
      </c>
      <c r="AG201" s="283"/>
      <c r="AH201" s="71" t="s">
        <v>645</v>
      </c>
      <c r="AI201" s="71" t="s">
        <v>652</v>
      </c>
      <c r="AJ201" s="71"/>
      <c r="AK201" s="71"/>
      <c r="AL201" s="71"/>
      <c r="AM201" s="71"/>
      <c r="AN201" s="71"/>
      <c r="AO201" s="71" t="s">
        <v>646</v>
      </c>
      <c r="AP201" s="71" t="s">
        <v>521</v>
      </c>
      <c r="AQ201" s="189" t="s">
        <v>647</v>
      </c>
      <c r="AR201" s="71" t="s">
        <v>653</v>
      </c>
      <c r="AS201" s="71" t="s">
        <v>648</v>
      </c>
      <c r="AT201" s="71" t="s">
        <v>649</v>
      </c>
      <c r="AU201" s="71"/>
      <c r="AV201" s="71"/>
    </row>
    <row r="202" spans="2:48" ht="23.25" customHeight="1">
      <c r="B202" s="331"/>
      <c r="C202" s="122">
        <v>6</v>
      </c>
      <c r="D202" s="132" t="s">
        <v>530</v>
      </c>
      <c r="E202" s="71"/>
      <c r="F202" s="71"/>
      <c r="G202" s="71"/>
      <c r="H202" s="71"/>
      <c r="I202" s="71" t="s">
        <v>650</v>
      </c>
      <c r="J202" s="214" t="s">
        <v>380</v>
      </c>
      <c r="K202" s="70" t="s">
        <v>459</v>
      </c>
      <c r="L202" s="71" t="s">
        <v>460</v>
      </c>
      <c r="M202" s="71"/>
      <c r="N202" s="71" t="s">
        <v>633</v>
      </c>
      <c r="O202" s="71" t="s">
        <v>634</v>
      </c>
      <c r="P202" s="214" t="s">
        <v>635</v>
      </c>
      <c r="Q202" s="71" t="s">
        <v>636</v>
      </c>
      <c r="R202" s="71" t="s">
        <v>628</v>
      </c>
      <c r="S202" s="71" t="s">
        <v>651</v>
      </c>
      <c r="T202" s="71" t="s">
        <v>637</v>
      </c>
      <c r="U202" s="71"/>
      <c r="V202" s="71"/>
      <c r="W202" s="71" t="s">
        <v>639</v>
      </c>
      <c r="X202" s="71" t="s">
        <v>640</v>
      </c>
      <c r="Y202" s="71" t="s">
        <v>641</v>
      </c>
      <c r="Z202" s="265" t="s">
        <v>642</v>
      </c>
      <c r="AA202" s="71"/>
      <c r="AB202" s="71"/>
      <c r="AC202" s="187"/>
      <c r="AD202" s="221" t="s">
        <v>643</v>
      </c>
      <c r="AE202" s="291"/>
      <c r="AF202" s="71" t="s">
        <v>644</v>
      </c>
      <c r="AG202" s="283"/>
      <c r="AH202" s="71" t="s">
        <v>645</v>
      </c>
      <c r="AI202" s="71" t="s">
        <v>652</v>
      </c>
      <c r="AJ202" s="71"/>
      <c r="AK202" s="71"/>
      <c r="AL202" s="71"/>
      <c r="AM202" s="71"/>
      <c r="AN202" s="71"/>
      <c r="AO202" s="71" t="s">
        <v>646</v>
      </c>
      <c r="AP202" s="71" t="s">
        <v>521</v>
      </c>
      <c r="AQ202" s="189" t="s">
        <v>647</v>
      </c>
      <c r="AR202" s="71" t="s">
        <v>462</v>
      </c>
      <c r="AS202" s="71" t="s">
        <v>648</v>
      </c>
      <c r="AT202" s="71" t="s">
        <v>649</v>
      </c>
      <c r="AU202" s="71"/>
      <c r="AV202" s="71"/>
    </row>
    <row r="203" spans="2:48" ht="24.75" customHeight="1">
      <c r="B203" s="331"/>
      <c r="C203" s="122">
        <v>7</v>
      </c>
      <c r="D203" s="132" t="s">
        <v>531</v>
      </c>
      <c r="E203" s="71"/>
      <c r="F203" s="71"/>
      <c r="G203" s="71"/>
      <c r="H203" s="71"/>
      <c r="I203" s="71"/>
      <c r="J203" s="214" t="s">
        <v>380</v>
      </c>
      <c r="K203" s="70" t="s">
        <v>459</v>
      </c>
      <c r="L203" s="71" t="s">
        <v>460</v>
      </c>
      <c r="M203" s="71" t="s">
        <v>654</v>
      </c>
      <c r="N203" s="71" t="s">
        <v>655</v>
      </c>
      <c r="O203" s="71" t="s">
        <v>656</v>
      </c>
      <c r="P203" s="71" t="s">
        <v>657</v>
      </c>
      <c r="Q203" s="71" t="s">
        <v>367</v>
      </c>
      <c r="R203" s="71" t="s">
        <v>658</v>
      </c>
      <c r="S203" s="279" t="s">
        <v>659</v>
      </c>
      <c r="T203" s="126" t="s">
        <v>660</v>
      </c>
      <c r="U203" s="71"/>
      <c r="V203" s="71" t="s">
        <v>661</v>
      </c>
      <c r="W203" s="71"/>
      <c r="X203" s="71"/>
      <c r="Y203" s="71"/>
      <c r="Z203" s="214"/>
      <c r="AA203" s="71"/>
      <c r="AB203" s="71"/>
      <c r="AC203" s="187"/>
      <c r="AD203" s="187" t="s">
        <v>662</v>
      </c>
      <c r="AE203" s="71" t="s">
        <v>663</v>
      </c>
      <c r="AF203" s="188"/>
      <c r="AG203" s="70" t="s">
        <v>664</v>
      </c>
      <c r="AH203" s="71"/>
      <c r="AI203" s="71" t="s">
        <v>665</v>
      </c>
      <c r="AJ203" s="71"/>
      <c r="AK203" s="71"/>
      <c r="AL203" s="71"/>
      <c r="AM203" s="71"/>
      <c r="AN203" s="71"/>
      <c r="AO203" s="71" t="s">
        <v>666</v>
      </c>
      <c r="AQ203" s="71"/>
      <c r="AR203" s="71" t="s">
        <v>462</v>
      </c>
      <c r="AS203" s="71" t="s">
        <v>667</v>
      </c>
      <c r="AT203" s="71" t="s">
        <v>668</v>
      </c>
      <c r="AU203" s="71"/>
      <c r="AV203" s="71"/>
    </row>
    <row r="204" spans="2:48" ht="24.75" customHeight="1">
      <c r="B204" s="331"/>
      <c r="C204" s="122">
        <v>8</v>
      </c>
      <c r="D204" s="132" t="s">
        <v>543</v>
      </c>
      <c r="E204" s="71"/>
      <c r="F204" s="71"/>
      <c r="G204" s="71"/>
      <c r="H204" s="71"/>
      <c r="I204" s="71"/>
      <c r="J204" s="71"/>
      <c r="K204" s="70" t="s">
        <v>459</v>
      </c>
      <c r="L204" s="71" t="s">
        <v>460</v>
      </c>
      <c r="M204" s="71" t="s">
        <v>654</v>
      </c>
      <c r="N204" s="71" t="s">
        <v>655</v>
      </c>
      <c r="O204" s="71" t="s">
        <v>656</v>
      </c>
      <c r="P204" s="71" t="s">
        <v>657</v>
      </c>
      <c r="Q204" s="71" t="s">
        <v>367</v>
      </c>
      <c r="R204" s="71" t="s">
        <v>658</v>
      </c>
      <c r="S204" s="279" t="s">
        <v>659</v>
      </c>
      <c r="T204" s="126" t="s">
        <v>660</v>
      </c>
      <c r="U204" s="71"/>
      <c r="V204" s="71" t="s">
        <v>661</v>
      </c>
      <c r="W204" s="71"/>
      <c r="X204" s="71"/>
      <c r="Y204" s="71"/>
      <c r="Z204" s="214"/>
      <c r="AA204" s="71"/>
      <c r="AB204" s="71"/>
      <c r="AC204" s="187"/>
      <c r="AD204" s="216" t="s">
        <v>662</v>
      </c>
      <c r="AE204" s="71" t="s">
        <v>663</v>
      </c>
      <c r="AF204" s="71"/>
      <c r="AG204" s="70" t="s">
        <v>664</v>
      </c>
      <c r="AH204" s="71"/>
      <c r="AI204" s="71" t="s">
        <v>665</v>
      </c>
      <c r="AJ204" s="71"/>
      <c r="AK204" s="71"/>
      <c r="AL204" s="71"/>
      <c r="AM204" s="71"/>
      <c r="AN204" s="71"/>
      <c r="AO204" s="71" t="s">
        <v>666</v>
      </c>
      <c r="AQ204" s="71"/>
      <c r="AR204" s="71" t="s">
        <v>462</v>
      </c>
      <c r="AS204" s="71" t="s">
        <v>667</v>
      </c>
      <c r="AT204" s="71" t="s">
        <v>668</v>
      </c>
      <c r="AU204" s="71"/>
      <c r="AV204" s="71"/>
    </row>
    <row r="205" spans="2:48" ht="24.75" customHeight="1">
      <c r="B205" s="331"/>
      <c r="C205" s="122">
        <v>9</v>
      </c>
      <c r="D205" s="132" t="s">
        <v>544</v>
      </c>
      <c r="E205" s="71"/>
      <c r="F205" s="71"/>
      <c r="G205" s="71"/>
      <c r="H205" s="71"/>
      <c r="I205" s="71"/>
      <c r="J205" s="71"/>
      <c r="K205" s="71"/>
      <c r="L205" s="71"/>
      <c r="M205" s="71" t="s">
        <v>654</v>
      </c>
      <c r="N205" s="71" t="s">
        <v>655</v>
      </c>
      <c r="O205" s="71" t="s">
        <v>656</v>
      </c>
      <c r="P205" s="71" t="s">
        <v>657</v>
      </c>
      <c r="Q205" s="71" t="s">
        <v>367</v>
      </c>
      <c r="R205" s="71"/>
      <c r="S205" s="279" t="s">
        <v>659</v>
      </c>
      <c r="T205" s="71"/>
      <c r="U205" s="71"/>
      <c r="V205" s="71"/>
      <c r="W205" s="71"/>
      <c r="X205" s="71"/>
      <c r="Y205" s="71"/>
      <c r="Z205" s="214"/>
      <c r="AA205" s="71"/>
      <c r="AB205" s="71"/>
      <c r="AC205" s="187"/>
      <c r="AD205" s="71" t="s">
        <v>662</v>
      </c>
      <c r="AE205" s="71" t="s">
        <v>663</v>
      </c>
      <c r="AF205" s="71"/>
      <c r="AG205" s="276"/>
      <c r="AH205" s="71"/>
      <c r="AI205" s="71"/>
      <c r="AJ205" s="71"/>
      <c r="AK205" s="71"/>
      <c r="AL205" s="71"/>
      <c r="AM205" s="71"/>
      <c r="AN205" s="71"/>
      <c r="AO205" s="71" t="s">
        <v>666</v>
      </c>
      <c r="AQ205" s="71"/>
      <c r="AR205" s="71"/>
      <c r="AS205" s="71" t="s">
        <v>667</v>
      </c>
      <c r="AT205" s="71" t="s">
        <v>668</v>
      </c>
      <c r="AU205" s="71"/>
      <c r="AV205" s="71"/>
    </row>
    <row r="206" spans="2:48" ht="15.95" customHeight="1">
      <c r="B206" s="331"/>
      <c r="C206" s="122">
        <v>10</v>
      </c>
      <c r="D206" s="132" t="s">
        <v>545</v>
      </c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214"/>
      <c r="AA206" s="71"/>
      <c r="AB206" s="71"/>
      <c r="AC206" s="187"/>
      <c r="AD206" s="71"/>
      <c r="AE206" s="188"/>
      <c r="AF206" s="71"/>
      <c r="AG206" s="276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</row>
    <row r="207" spans="2:48" ht="15.95" customHeight="1">
      <c r="B207" s="331"/>
      <c r="C207" s="122">
        <v>11</v>
      </c>
      <c r="D207" s="132" t="s">
        <v>546</v>
      </c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187"/>
      <c r="AD207" s="71"/>
      <c r="AE207" s="188"/>
      <c r="AF207" s="71"/>
      <c r="AG207" s="276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</row>
    <row r="208" spans="2:48" ht="15.95" customHeight="1">
      <c r="B208" s="332"/>
      <c r="C208" s="122">
        <v>12</v>
      </c>
      <c r="D208" s="132" t="s">
        <v>547</v>
      </c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187"/>
      <c r="AD208" s="71"/>
      <c r="AE208" s="188"/>
      <c r="AF208" s="71"/>
      <c r="AG208" s="276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</row>
    <row r="209" spans="2:48" s="28" customFormat="1" ht="24">
      <c r="B209" s="327" t="s">
        <v>279</v>
      </c>
      <c r="C209" s="120">
        <v>1</v>
      </c>
      <c r="D209" s="121" t="s">
        <v>138</v>
      </c>
      <c r="E209" s="70"/>
      <c r="F209" s="70"/>
      <c r="G209" s="70"/>
      <c r="H209" s="70"/>
      <c r="I209" s="70" t="s">
        <v>669</v>
      </c>
      <c r="J209" s="189" t="s">
        <v>670</v>
      </c>
      <c r="K209" s="70"/>
      <c r="L209" s="70" t="s">
        <v>671</v>
      </c>
      <c r="M209" s="70"/>
      <c r="N209" s="70" t="s">
        <v>672</v>
      </c>
      <c r="O209" s="69" t="s">
        <v>673</v>
      </c>
      <c r="P209" s="70" t="s">
        <v>674</v>
      </c>
      <c r="Q209" s="189" t="s">
        <v>675</v>
      </c>
      <c r="R209" s="70" t="s">
        <v>676</v>
      </c>
      <c r="S209" s="70" t="s">
        <v>677</v>
      </c>
      <c r="T209" s="70" t="s">
        <v>678</v>
      </c>
      <c r="U209" s="70"/>
      <c r="V209" s="70"/>
      <c r="W209" s="70"/>
      <c r="X209" s="70"/>
      <c r="Y209" s="70"/>
      <c r="Z209" s="70" t="s">
        <v>395</v>
      </c>
      <c r="AA209" s="70"/>
      <c r="AB209" s="70" t="s">
        <v>679</v>
      </c>
      <c r="AC209" s="228"/>
      <c r="AD209" s="70" t="s">
        <v>680</v>
      </c>
      <c r="AE209" s="202"/>
      <c r="AF209" s="70"/>
      <c r="AG209" s="276"/>
      <c r="AH209" s="70" t="s">
        <v>636</v>
      </c>
      <c r="AI209" s="70" t="s">
        <v>681</v>
      </c>
      <c r="AJ209" s="70"/>
      <c r="AK209" s="70"/>
      <c r="AL209" s="70"/>
      <c r="AM209" s="70"/>
      <c r="AN209" s="70"/>
      <c r="AO209" s="70"/>
      <c r="AP209" s="70"/>
      <c r="AQ209" s="70"/>
      <c r="AR209" s="279" t="s">
        <v>682</v>
      </c>
      <c r="AS209" s="70" t="s">
        <v>683</v>
      </c>
      <c r="AT209" s="70" t="s">
        <v>684</v>
      </c>
      <c r="AU209" s="70"/>
      <c r="AV209" s="70"/>
    </row>
    <row r="210" spans="2:48" s="28" customFormat="1" ht="23.25" customHeight="1">
      <c r="B210" s="328"/>
      <c r="C210" s="120">
        <v>2</v>
      </c>
      <c r="D210" s="121" t="s">
        <v>146</v>
      </c>
      <c r="E210" s="70"/>
      <c r="F210" s="70"/>
      <c r="G210" s="70"/>
      <c r="H210" s="70"/>
      <c r="I210" s="70" t="s">
        <v>669</v>
      </c>
      <c r="J210" s="189" t="s">
        <v>670</v>
      </c>
      <c r="K210" s="70"/>
      <c r="L210" s="70" t="s">
        <v>671</v>
      </c>
      <c r="M210" s="70" t="s">
        <v>565</v>
      </c>
      <c r="N210" s="70" t="s">
        <v>672</v>
      </c>
      <c r="O210" s="69" t="s">
        <v>673</v>
      </c>
      <c r="P210" s="70" t="s">
        <v>674</v>
      </c>
      <c r="Q210" s="189" t="s">
        <v>675</v>
      </c>
      <c r="R210" s="70" t="s">
        <v>676</v>
      </c>
      <c r="S210" s="70" t="s">
        <v>677</v>
      </c>
      <c r="T210" s="70" t="s">
        <v>678</v>
      </c>
      <c r="U210" s="70"/>
      <c r="V210" s="70"/>
      <c r="W210" s="70"/>
      <c r="X210" s="70"/>
      <c r="Y210" s="70" t="s">
        <v>566</v>
      </c>
      <c r="Z210" s="70" t="s">
        <v>395</v>
      </c>
      <c r="AA210" s="70"/>
      <c r="AB210" s="70" t="s">
        <v>679</v>
      </c>
      <c r="AC210" s="70"/>
      <c r="AD210" s="186" t="s">
        <v>680</v>
      </c>
      <c r="AE210" s="70"/>
      <c r="AF210" s="70"/>
      <c r="AG210" s="276"/>
      <c r="AH210" s="70" t="s">
        <v>636</v>
      </c>
      <c r="AI210" s="70" t="s">
        <v>681</v>
      </c>
      <c r="AJ210" s="70"/>
      <c r="AK210" s="70"/>
      <c r="AL210" s="70"/>
      <c r="AM210" s="70"/>
      <c r="AN210" s="70"/>
      <c r="AO210" s="70"/>
      <c r="AP210" s="70"/>
      <c r="AQ210" s="70"/>
      <c r="AR210" s="279" t="s">
        <v>682</v>
      </c>
      <c r="AS210" s="70" t="s">
        <v>683</v>
      </c>
      <c r="AT210" s="70" t="s">
        <v>684</v>
      </c>
      <c r="AU210" s="70"/>
      <c r="AV210" s="70"/>
    </row>
    <row r="211" spans="2:48" s="28" customFormat="1" ht="24">
      <c r="B211" s="328"/>
      <c r="C211" s="120">
        <v>3</v>
      </c>
      <c r="D211" s="121" t="s">
        <v>149</v>
      </c>
      <c r="E211" s="70"/>
      <c r="F211" s="70"/>
      <c r="G211" s="70"/>
      <c r="H211" s="70"/>
      <c r="I211" s="70" t="s">
        <v>669</v>
      </c>
      <c r="J211" s="189" t="s">
        <v>670</v>
      </c>
      <c r="K211" s="70"/>
      <c r="L211" s="70" t="s">
        <v>671</v>
      </c>
      <c r="M211" s="70" t="s">
        <v>565</v>
      </c>
      <c r="N211" s="70" t="s">
        <v>672</v>
      </c>
      <c r="O211" s="69" t="s">
        <v>673</v>
      </c>
      <c r="P211" s="70" t="s">
        <v>674</v>
      </c>
      <c r="Q211" s="189" t="s">
        <v>675</v>
      </c>
      <c r="R211" s="70" t="s">
        <v>676</v>
      </c>
      <c r="S211" s="70" t="s">
        <v>677</v>
      </c>
      <c r="T211" s="70" t="s">
        <v>678</v>
      </c>
      <c r="U211" s="70"/>
      <c r="V211" s="70"/>
      <c r="W211" s="70"/>
      <c r="X211" s="70"/>
      <c r="Y211" s="70" t="s">
        <v>566</v>
      </c>
      <c r="Z211" s="70" t="s">
        <v>395</v>
      </c>
      <c r="AA211" s="70"/>
      <c r="AB211" s="70" t="s">
        <v>679</v>
      </c>
      <c r="AC211" s="70"/>
      <c r="AD211" s="70" t="s">
        <v>680</v>
      </c>
      <c r="AE211" s="70"/>
      <c r="AF211" s="70"/>
      <c r="AG211" s="276"/>
      <c r="AH211" s="70" t="s">
        <v>636</v>
      </c>
      <c r="AI211" s="70" t="s">
        <v>681</v>
      </c>
      <c r="AJ211" s="70"/>
      <c r="AK211" s="70"/>
      <c r="AL211" s="70"/>
      <c r="AM211" s="70"/>
      <c r="AN211" s="70"/>
      <c r="AO211" s="70"/>
      <c r="AP211" s="70"/>
      <c r="AQ211" s="70"/>
      <c r="AR211" s="279" t="s">
        <v>682</v>
      </c>
      <c r="AS211" s="70" t="s">
        <v>683</v>
      </c>
      <c r="AT211" s="70" t="s">
        <v>684</v>
      </c>
      <c r="AU211" s="70"/>
      <c r="AV211" s="70"/>
    </row>
    <row r="212" spans="2:48" s="28" customFormat="1" ht="15.95" customHeight="1">
      <c r="B212" s="328"/>
      <c r="C212" s="120">
        <v>4</v>
      </c>
      <c r="D212" s="121" t="s">
        <v>152</v>
      </c>
      <c r="E212" s="70"/>
      <c r="F212" s="70"/>
      <c r="G212" s="70"/>
      <c r="H212" s="70"/>
      <c r="I212" s="70"/>
      <c r="J212" s="189" t="s">
        <v>685</v>
      </c>
      <c r="K212" s="70"/>
      <c r="L212" s="70" t="s">
        <v>671</v>
      </c>
      <c r="M212" s="70"/>
      <c r="N212" s="70"/>
      <c r="O212" s="69"/>
      <c r="P212" s="70"/>
      <c r="Q212" s="70" t="s">
        <v>686</v>
      </c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276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2:48" s="28" customFormat="1" ht="15.95" customHeight="1">
      <c r="B213" s="328"/>
      <c r="C213" s="120">
        <v>5</v>
      </c>
      <c r="D213" s="121" t="s">
        <v>162</v>
      </c>
      <c r="E213" s="70"/>
      <c r="F213" s="70"/>
      <c r="G213" s="70"/>
      <c r="H213" s="70"/>
      <c r="I213" s="70"/>
      <c r="J213" s="189" t="s">
        <v>685</v>
      </c>
      <c r="K213" s="292" t="s">
        <v>526</v>
      </c>
      <c r="L213" s="70"/>
      <c r="M213" s="70"/>
      <c r="N213" s="70"/>
      <c r="O213" s="69"/>
      <c r="P213" s="70"/>
      <c r="Q213" s="70" t="s">
        <v>686</v>
      </c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 t="s">
        <v>687</v>
      </c>
      <c r="AF213" s="70"/>
      <c r="AG213" s="276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2:48" s="28" customFormat="1" ht="15.95" customHeight="1">
      <c r="B214" s="328"/>
      <c r="C214" s="120">
        <v>6</v>
      </c>
      <c r="D214" s="121" t="s">
        <v>164</v>
      </c>
      <c r="E214" s="70"/>
      <c r="F214" s="70"/>
      <c r="G214" s="70"/>
      <c r="H214" s="70"/>
      <c r="I214" s="70"/>
      <c r="J214" s="189" t="s">
        <v>685</v>
      </c>
      <c r="K214" s="292" t="s">
        <v>526</v>
      </c>
      <c r="L214" s="70"/>
      <c r="M214" s="70"/>
      <c r="N214" s="70"/>
      <c r="O214" s="69"/>
      <c r="P214" s="70"/>
      <c r="Q214" s="70" t="s">
        <v>686</v>
      </c>
      <c r="R214" s="70"/>
      <c r="S214" s="70" t="s">
        <v>651</v>
      </c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 t="s">
        <v>687</v>
      </c>
      <c r="AF214" s="70"/>
      <c r="AG214" s="276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2:48" s="28" customFormat="1" ht="15.95" customHeight="1">
      <c r="B215" s="328"/>
      <c r="C215" s="120">
        <v>7</v>
      </c>
      <c r="D215" s="121" t="s">
        <v>165</v>
      </c>
      <c r="E215" s="70"/>
      <c r="F215" s="70"/>
      <c r="G215" s="70"/>
      <c r="H215" s="70"/>
      <c r="I215" s="70"/>
      <c r="J215" s="189" t="s">
        <v>688</v>
      </c>
      <c r="K215" s="292" t="s">
        <v>526</v>
      </c>
      <c r="L215" s="70"/>
      <c r="M215" s="70"/>
      <c r="N215" s="70"/>
      <c r="O215" s="69" t="s">
        <v>689</v>
      </c>
      <c r="P215" s="70"/>
      <c r="Q215" s="189" t="s">
        <v>690</v>
      </c>
      <c r="R215" s="70"/>
      <c r="S215" s="70" t="s">
        <v>651</v>
      </c>
      <c r="T215" s="70" t="s">
        <v>691</v>
      </c>
      <c r="U215" s="70"/>
      <c r="V215" s="70"/>
      <c r="W215" s="70"/>
      <c r="X215" s="70"/>
      <c r="Y215" s="70" t="s">
        <v>346</v>
      </c>
      <c r="Z215" s="189"/>
      <c r="AA215" s="70"/>
      <c r="AB215" s="70"/>
      <c r="AC215" s="70"/>
      <c r="AD215" s="70"/>
      <c r="AE215" s="70" t="s">
        <v>687</v>
      </c>
      <c r="AF215" s="70"/>
      <c r="AG215" s="276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</row>
    <row r="216" spans="2:48" s="28" customFormat="1" ht="15.95" customHeight="1">
      <c r="B216" s="328"/>
      <c r="C216" s="120">
        <v>8</v>
      </c>
      <c r="D216" s="121" t="s">
        <v>169</v>
      </c>
      <c r="E216" s="70"/>
      <c r="F216" s="70"/>
      <c r="G216" s="70"/>
      <c r="H216" s="70"/>
      <c r="I216" s="70"/>
      <c r="J216" s="189" t="s">
        <v>688</v>
      </c>
      <c r="K216" s="292" t="s">
        <v>526</v>
      </c>
      <c r="L216" s="70"/>
      <c r="M216" s="70"/>
      <c r="N216" s="70"/>
      <c r="O216" s="69" t="s">
        <v>689</v>
      </c>
      <c r="P216" s="70"/>
      <c r="Q216" s="189" t="s">
        <v>690</v>
      </c>
      <c r="R216" s="70"/>
      <c r="S216" s="70"/>
      <c r="T216" s="70" t="s">
        <v>691</v>
      </c>
      <c r="U216" s="70"/>
      <c r="V216" s="70"/>
      <c r="W216" s="70"/>
      <c r="X216" s="70"/>
      <c r="Y216" s="70" t="s">
        <v>346</v>
      </c>
      <c r="Z216" s="189"/>
      <c r="AA216" s="70"/>
      <c r="AB216" s="70"/>
      <c r="AC216" s="70"/>
      <c r="AD216" s="70"/>
      <c r="AE216" s="70"/>
      <c r="AF216" s="70"/>
      <c r="AG216" s="276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</row>
    <row r="217" spans="2:48" s="28" customFormat="1" ht="15.95" customHeight="1">
      <c r="B217" s="328"/>
      <c r="C217" s="120">
        <v>9</v>
      </c>
      <c r="D217" s="121" t="s">
        <v>172</v>
      </c>
      <c r="E217" s="70"/>
      <c r="F217" s="70"/>
      <c r="G217" s="70"/>
      <c r="H217" s="70"/>
      <c r="I217" s="70"/>
      <c r="J217" s="189" t="s">
        <v>688</v>
      </c>
      <c r="K217" s="70"/>
      <c r="L217" s="70"/>
      <c r="M217" s="70"/>
      <c r="N217" s="70"/>
      <c r="O217" s="69" t="s">
        <v>689</v>
      </c>
      <c r="P217" s="70"/>
      <c r="Q217" s="189" t="s">
        <v>690</v>
      </c>
      <c r="R217" s="70"/>
      <c r="S217" s="70"/>
      <c r="T217" s="70" t="s">
        <v>691</v>
      </c>
      <c r="U217" s="70"/>
      <c r="V217" s="70"/>
      <c r="W217" s="70"/>
      <c r="X217" s="70"/>
      <c r="Y217" s="70"/>
      <c r="Z217" s="189"/>
      <c r="AA217" s="70"/>
      <c r="AB217" s="70"/>
      <c r="AC217" s="70"/>
      <c r="AD217" s="70"/>
      <c r="AE217" s="70"/>
      <c r="AF217" s="70"/>
      <c r="AG217" s="276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2:48" s="28" customFormat="1" ht="15.95" customHeight="1">
      <c r="B218" s="328"/>
      <c r="C218" s="120">
        <v>10</v>
      </c>
      <c r="D218" s="121" t="s">
        <v>174</v>
      </c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276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2:48" s="28" customFormat="1" ht="15.95" customHeight="1">
      <c r="B219" s="328"/>
      <c r="C219" s="120">
        <v>11</v>
      </c>
      <c r="D219" s="121" t="s">
        <v>177</v>
      </c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276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2:48" s="28" customFormat="1" ht="15.95" customHeight="1">
      <c r="B220" s="329"/>
      <c r="C220" s="120">
        <v>12</v>
      </c>
      <c r="D220" s="121" t="s">
        <v>178</v>
      </c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276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</row>
    <row r="221" spans="2:48" ht="15.95" customHeight="1">
      <c r="B221" s="330" t="s">
        <v>302</v>
      </c>
      <c r="C221" s="122">
        <v>1</v>
      </c>
      <c r="D221" s="132" t="s">
        <v>477</v>
      </c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</row>
    <row r="222" spans="2:48" ht="15.95" customHeight="1">
      <c r="B222" s="331"/>
      <c r="C222" s="122">
        <v>2</v>
      </c>
      <c r="D222" s="132" t="s">
        <v>494</v>
      </c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</row>
    <row r="223" spans="2:48" ht="15.95" customHeight="1">
      <c r="B223" s="331"/>
      <c r="C223" s="122">
        <v>3</v>
      </c>
      <c r="D223" s="132" t="s">
        <v>500</v>
      </c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</row>
    <row r="224" spans="2:48" ht="15.95" customHeight="1">
      <c r="B224" s="331"/>
      <c r="C224" s="122">
        <v>4</v>
      </c>
      <c r="D224" s="132" t="s">
        <v>503</v>
      </c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</row>
    <row r="225" spans="2:48" ht="15.95" customHeight="1">
      <c r="B225" s="331"/>
      <c r="C225" s="122">
        <v>5</v>
      </c>
      <c r="D225" s="132" t="s">
        <v>524</v>
      </c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</row>
    <row r="226" spans="2:48" ht="15.95" customHeight="1">
      <c r="B226" s="331"/>
      <c r="C226" s="122">
        <v>6</v>
      </c>
      <c r="D226" s="132" t="s">
        <v>530</v>
      </c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</row>
    <row r="227" spans="2:48" ht="15.95" customHeight="1">
      <c r="B227" s="331"/>
      <c r="C227" s="122">
        <v>7</v>
      </c>
      <c r="D227" s="132" t="s">
        <v>531</v>
      </c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</row>
    <row r="228" spans="2:48" ht="15.95" customHeight="1">
      <c r="B228" s="331"/>
      <c r="C228" s="122">
        <v>8</v>
      </c>
      <c r="D228" s="132" t="s">
        <v>543</v>
      </c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</row>
    <row r="229" spans="2:48" ht="15.95" customHeight="1">
      <c r="B229" s="331"/>
      <c r="C229" s="122">
        <v>9</v>
      </c>
      <c r="D229" s="132" t="s">
        <v>544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</row>
    <row r="230" spans="2:48" ht="15.95" customHeight="1">
      <c r="B230" s="331"/>
      <c r="C230" s="122">
        <v>10</v>
      </c>
      <c r="D230" s="132" t="s">
        <v>545</v>
      </c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</row>
    <row r="231" spans="2:48" ht="15.95" customHeight="1">
      <c r="B231" s="331"/>
      <c r="C231" s="122">
        <v>11</v>
      </c>
      <c r="D231" s="132" t="s">
        <v>546</v>
      </c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87"/>
      <c r="AJ231" s="71"/>
      <c r="AK231" s="188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</row>
    <row r="232" spans="2:48" ht="15.95" customHeight="1">
      <c r="B232" s="332"/>
      <c r="C232" s="122">
        <v>12</v>
      </c>
      <c r="D232" s="132" t="s">
        <v>547</v>
      </c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87"/>
      <c r="AJ232" s="71"/>
      <c r="AK232" s="188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</row>
    <row r="233" spans="2:48">
      <c r="B233" s="326" t="s">
        <v>306</v>
      </c>
      <c r="C233" s="326"/>
      <c r="D233" s="326"/>
      <c r="E233" s="113">
        <f t="shared" ref="E233:J233" si="3">COUNTA(E161:E217)/45</f>
        <v>0</v>
      </c>
      <c r="F233" s="113">
        <f t="shared" si="3"/>
        <v>0.17777777777777778</v>
      </c>
      <c r="G233" s="113">
        <f t="shared" si="3"/>
        <v>0</v>
      </c>
      <c r="H233" s="113">
        <f t="shared" si="3"/>
        <v>0.17777777777777778</v>
      </c>
      <c r="I233" s="113">
        <f t="shared" si="3"/>
        <v>0.35555555555555557</v>
      </c>
      <c r="J233" s="113">
        <f t="shared" si="3"/>
        <v>0.42222222222222222</v>
      </c>
      <c r="K233" s="133">
        <f>COUNTA(K161:K214)/45</f>
        <v>0.62222222222222223</v>
      </c>
      <c r="L233" s="123">
        <f>COUNTA(L161:L212)/45</f>
        <v>0.44444444444444442</v>
      </c>
      <c r="M233" s="113">
        <f>COUNTA(M163:M217)/45</f>
        <v>0.71111111111111114</v>
      </c>
      <c r="N233" s="113">
        <f t="shared" ref="N233:Y233" si="4">COUNTA(N161:N217)/45</f>
        <v>0.77777777777777779</v>
      </c>
      <c r="O233" s="113">
        <f t="shared" si="4"/>
        <v>0.97777777777777775</v>
      </c>
      <c r="P233" s="113">
        <f t="shared" si="4"/>
        <v>0.8666666666666667</v>
      </c>
      <c r="Q233" s="167">
        <f>COUNTA(Q161:Q217)/45</f>
        <v>0.8666666666666667</v>
      </c>
      <c r="R233" s="113">
        <f t="shared" si="4"/>
        <v>0.68888888888888888</v>
      </c>
      <c r="S233" s="113">
        <f t="shared" si="4"/>
        <v>0.77777777777777779</v>
      </c>
      <c r="T233" s="113">
        <f t="shared" si="4"/>
        <v>0.88888888888888884</v>
      </c>
      <c r="U233" s="113">
        <f t="shared" si="4"/>
        <v>0</v>
      </c>
      <c r="V233" s="113">
        <f t="shared" si="4"/>
        <v>0.53333333333333333</v>
      </c>
      <c r="W233" s="113">
        <f t="shared" si="4"/>
        <v>0.6</v>
      </c>
      <c r="X233" s="113">
        <f>COUNTA(X162:X217)/45</f>
        <v>0.51111111111111107</v>
      </c>
      <c r="Y233" s="113">
        <f t="shared" si="4"/>
        <v>0.8666666666666667</v>
      </c>
      <c r="Z233" s="113">
        <f>COUNTA(Z162:Z217)/45</f>
        <v>0.51111111111111107</v>
      </c>
      <c r="AA233" s="113">
        <f>COUNTA(AA161:AA217)/45</f>
        <v>0</v>
      </c>
      <c r="AB233" s="113">
        <f>COUNTA(AB161:AB214)/45</f>
        <v>0.13333333333333333</v>
      </c>
      <c r="AC233" s="113">
        <f>COUNTA(AB161:AC216)/45</f>
        <v>0.13333333333333333</v>
      </c>
      <c r="AD233" s="113">
        <f>COUNTA(AD164:AD217)/45</f>
        <v>0.8</v>
      </c>
      <c r="AE233" s="113">
        <f t="shared" ref="AE233:AV233" si="5">COUNTA(AE161:AE217)/45</f>
        <v>0.33333333333333331</v>
      </c>
      <c r="AF233" s="113">
        <f t="shared" si="5"/>
        <v>0.37777777777777777</v>
      </c>
      <c r="AG233" s="113">
        <f t="shared" si="5"/>
        <v>0.42222222222222222</v>
      </c>
      <c r="AH233" s="113">
        <f t="shared" si="5"/>
        <v>0.77777777777777779</v>
      </c>
      <c r="AI233" s="151">
        <f t="shared" si="5"/>
        <v>0.57777777777777772</v>
      </c>
      <c r="AJ233" s="113">
        <f t="shared" si="5"/>
        <v>0.31111111111111112</v>
      </c>
      <c r="AK233" s="152">
        <f t="shared" si="5"/>
        <v>0</v>
      </c>
      <c r="AL233" s="113">
        <f t="shared" si="5"/>
        <v>0</v>
      </c>
      <c r="AM233" s="113">
        <f t="shared" si="5"/>
        <v>0</v>
      </c>
      <c r="AN233" s="113">
        <f t="shared" si="5"/>
        <v>0</v>
      </c>
      <c r="AO233" s="113">
        <f t="shared" si="5"/>
        <v>0.37777777777777777</v>
      </c>
      <c r="AP233" s="113">
        <f t="shared" si="5"/>
        <v>0.51111111111111107</v>
      </c>
      <c r="AQ233" s="113">
        <f>COUNTA(AQ161:AQ217)/45</f>
        <v>0.24444444444444444</v>
      </c>
      <c r="AR233" s="113">
        <f t="shared" si="5"/>
        <v>0.46666666666666667</v>
      </c>
      <c r="AS233" s="113">
        <f t="shared" si="5"/>
        <v>0.8666666666666667</v>
      </c>
      <c r="AT233" s="113">
        <f t="shared" si="5"/>
        <v>0.8666666666666667</v>
      </c>
      <c r="AU233" s="113">
        <f t="shared" si="5"/>
        <v>0</v>
      </c>
      <c r="AV233" s="113">
        <f t="shared" si="5"/>
        <v>0</v>
      </c>
    </row>
    <row r="234" spans="2:48">
      <c r="M234" s="127"/>
    </row>
    <row r="235" spans="2:48">
      <c r="M235" s="1"/>
    </row>
    <row r="236" spans="2:48">
      <c r="M236" s="1"/>
    </row>
    <row r="237" spans="2:48">
      <c r="M237" s="1"/>
    </row>
    <row r="238" spans="2:48">
      <c r="M238" s="1"/>
    </row>
    <row r="239" spans="2:48">
      <c r="M239" s="1"/>
    </row>
    <row r="240" spans="2:48">
      <c r="M240" s="1"/>
    </row>
    <row r="241" spans="13:13">
      <c r="M241" s="1"/>
    </row>
    <row r="242" spans="13:13">
      <c r="M242" s="1"/>
    </row>
    <row r="243" spans="13:13">
      <c r="M243" s="1"/>
    </row>
    <row r="244" spans="13:13">
      <c r="M244" s="1"/>
    </row>
    <row r="245" spans="13:13">
      <c r="M245" s="1"/>
    </row>
    <row r="246" spans="13:13">
      <c r="M246" s="1"/>
    </row>
    <row r="247" spans="13:13">
      <c r="M247" s="1"/>
    </row>
    <row r="248" spans="13:13">
      <c r="M248" s="1"/>
    </row>
    <row r="249" spans="13:13">
      <c r="M249" s="1"/>
    </row>
    <row r="250" spans="13:13">
      <c r="M250" s="1"/>
    </row>
    <row r="251" spans="13:13">
      <c r="M251" s="1"/>
    </row>
    <row r="252" spans="13:13">
      <c r="M252" s="1"/>
    </row>
    <row r="253" spans="13:13">
      <c r="M253" s="1"/>
    </row>
    <row r="254" spans="13:13">
      <c r="M254" s="1"/>
    </row>
    <row r="255" spans="13:13">
      <c r="M255" s="1"/>
    </row>
    <row r="256" spans="13:13">
      <c r="M256" s="1"/>
    </row>
    <row r="257" spans="13:13">
      <c r="M257" s="1"/>
    </row>
    <row r="258" spans="13:13">
      <c r="M258" s="1"/>
    </row>
    <row r="259" spans="13:13">
      <c r="M259" s="1"/>
    </row>
    <row r="260" spans="13:13">
      <c r="M260" s="1"/>
    </row>
    <row r="261" spans="13:13">
      <c r="M261" s="1"/>
    </row>
    <row r="262" spans="13:13">
      <c r="M262" s="1"/>
    </row>
    <row r="263" spans="13:13">
      <c r="M263" s="1"/>
    </row>
    <row r="264" spans="13:13">
      <c r="M264" s="1"/>
    </row>
    <row r="265" spans="13:13">
      <c r="M265" s="1"/>
    </row>
    <row r="266" spans="13:13">
      <c r="M266" s="1"/>
    </row>
    <row r="267" spans="13:13">
      <c r="M267" s="1"/>
    </row>
    <row r="268" spans="13:13">
      <c r="M268" s="1"/>
    </row>
    <row r="269" spans="13:13">
      <c r="M269" s="1"/>
    </row>
    <row r="270" spans="13:13">
      <c r="M270" s="1"/>
    </row>
    <row r="271" spans="13:13">
      <c r="M271" s="1"/>
    </row>
    <row r="272" spans="13:13">
      <c r="M272" s="1"/>
    </row>
    <row r="273" spans="13:13">
      <c r="M273" s="1"/>
    </row>
    <row r="274" spans="13:13">
      <c r="M274" s="1"/>
    </row>
    <row r="275" spans="13:13">
      <c r="M275" s="1"/>
    </row>
    <row r="276" spans="13:13">
      <c r="M276" s="1"/>
    </row>
    <row r="277" spans="13:13">
      <c r="M277" s="1"/>
    </row>
    <row r="278" spans="13:13">
      <c r="M278" s="1"/>
    </row>
    <row r="279" spans="13:13">
      <c r="M279" s="1"/>
    </row>
    <row r="280" spans="13:13">
      <c r="M280" s="1"/>
    </row>
    <row r="281" spans="13:13">
      <c r="M281" s="1"/>
    </row>
    <row r="282" spans="13:13">
      <c r="M282" s="1"/>
    </row>
    <row r="283" spans="13:13">
      <c r="M283" s="1"/>
    </row>
    <row r="284" spans="13:13">
      <c r="M284" s="1"/>
    </row>
    <row r="285" spans="13:13">
      <c r="M285" s="1"/>
    </row>
    <row r="286" spans="13:13">
      <c r="M286" s="1"/>
    </row>
    <row r="287" spans="13:13">
      <c r="M287" s="1"/>
    </row>
    <row r="288" spans="13:13">
      <c r="M288" s="1"/>
    </row>
    <row r="289" spans="13:13">
      <c r="M289" s="1"/>
    </row>
    <row r="290" spans="13:13">
      <c r="M290" s="1"/>
    </row>
    <row r="291" spans="13:13">
      <c r="M291" s="1"/>
    </row>
    <row r="292" spans="13:13">
      <c r="M292" s="1"/>
    </row>
    <row r="293" spans="13:13">
      <c r="M293" s="1"/>
    </row>
    <row r="294" spans="13:13">
      <c r="M294" s="1"/>
    </row>
    <row r="295" spans="13:13">
      <c r="M295" s="1"/>
    </row>
    <row r="296" spans="13:13">
      <c r="M296" s="1"/>
    </row>
    <row r="297" spans="13:13">
      <c r="M297" s="1"/>
    </row>
    <row r="298" spans="13:13">
      <c r="M298" s="1"/>
    </row>
    <row r="299" spans="13:13">
      <c r="M299" s="1"/>
    </row>
    <row r="300" spans="13:13">
      <c r="M300" s="1"/>
    </row>
    <row r="301" spans="13:13">
      <c r="M301" s="1"/>
    </row>
    <row r="302" spans="13:13">
      <c r="M302" s="1"/>
    </row>
    <row r="303" spans="13:13">
      <c r="M303" s="1"/>
    </row>
    <row r="304" spans="13:13">
      <c r="M304" s="1"/>
    </row>
    <row r="305" spans="13:13">
      <c r="M305" s="1"/>
    </row>
    <row r="306" spans="13:13">
      <c r="M306" s="1"/>
    </row>
    <row r="307" spans="13:13">
      <c r="M307" s="1"/>
    </row>
    <row r="308" spans="13:13">
      <c r="M308" s="1"/>
    </row>
    <row r="309" spans="13:13">
      <c r="M309" s="1"/>
    </row>
    <row r="310" spans="13:13">
      <c r="M310" s="1"/>
    </row>
    <row r="311" spans="13:13">
      <c r="M311" s="1"/>
    </row>
    <row r="312" spans="13:13">
      <c r="M312" s="1"/>
    </row>
    <row r="313" spans="13:13">
      <c r="M313" s="1"/>
    </row>
    <row r="314" spans="13:13">
      <c r="M314" s="1"/>
    </row>
    <row r="315" spans="13:13">
      <c r="M315" s="1"/>
    </row>
    <row r="316" spans="13:13">
      <c r="M316" s="1"/>
    </row>
    <row r="317" spans="13:13">
      <c r="M317" s="1"/>
    </row>
    <row r="318" spans="13:13">
      <c r="M318" s="1"/>
    </row>
    <row r="319" spans="13:13">
      <c r="M319" s="1"/>
    </row>
    <row r="320" spans="13:13">
      <c r="M320" s="1"/>
    </row>
    <row r="321" spans="13:13">
      <c r="M321" s="1"/>
    </row>
    <row r="322" spans="13:13">
      <c r="M322" s="1"/>
    </row>
    <row r="323" spans="13:13">
      <c r="M323" s="1"/>
    </row>
    <row r="324" spans="13:13">
      <c r="M324" s="1"/>
    </row>
    <row r="325" spans="13:13">
      <c r="M325" s="1"/>
    </row>
    <row r="326" spans="13:13">
      <c r="M326" s="1"/>
    </row>
    <row r="327" spans="13:13">
      <c r="M327" s="1"/>
    </row>
    <row r="328" spans="13:13">
      <c r="M328" s="1"/>
    </row>
    <row r="329" spans="13:13">
      <c r="M329" s="1"/>
    </row>
    <row r="330" spans="13:13">
      <c r="M330" s="1"/>
    </row>
    <row r="331" spans="13:13">
      <c r="M331" s="1"/>
    </row>
    <row r="332" spans="13:13">
      <c r="M332" s="1"/>
    </row>
    <row r="333" spans="13:13">
      <c r="M333" s="1"/>
    </row>
    <row r="334" spans="13:13">
      <c r="M334" s="1"/>
    </row>
    <row r="335" spans="13:13">
      <c r="M335" s="1"/>
    </row>
    <row r="336" spans="13:13">
      <c r="M336" s="1"/>
    </row>
    <row r="337" spans="13:13">
      <c r="M337" s="1"/>
    </row>
    <row r="338" spans="13:13">
      <c r="M338" s="1"/>
    </row>
    <row r="339" spans="13:13">
      <c r="M339" s="1"/>
    </row>
    <row r="340" spans="13:13">
      <c r="M340" s="1"/>
    </row>
    <row r="341" spans="13:13">
      <c r="M341" s="1"/>
    </row>
    <row r="342" spans="13:13">
      <c r="M342" s="1"/>
    </row>
    <row r="343" spans="13:13">
      <c r="M343" s="1"/>
    </row>
    <row r="344" spans="13:13">
      <c r="M344" s="1"/>
    </row>
    <row r="345" spans="13:13">
      <c r="M345" s="1"/>
    </row>
    <row r="346" spans="13:13">
      <c r="M346" s="1"/>
    </row>
    <row r="347" spans="13:13">
      <c r="M347" s="1"/>
    </row>
    <row r="348" spans="13:13">
      <c r="M348" s="1"/>
    </row>
    <row r="349" spans="13:13">
      <c r="M349" s="1"/>
    </row>
    <row r="350" spans="13:13">
      <c r="M350" s="1"/>
    </row>
    <row r="351" spans="13:13">
      <c r="M351" s="1"/>
    </row>
    <row r="352" spans="13:13">
      <c r="M352" s="1"/>
    </row>
    <row r="353" spans="13:13">
      <c r="M353" s="1"/>
    </row>
    <row r="354" spans="13:13">
      <c r="M354" s="1"/>
    </row>
    <row r="355" spans="13:13">
      <c r="M355" s="1"/>
    </row>
    <row r="356" spans="13:13">
      <c r="M356" s="1"/>
    </row>
    <row r="357" spans="13:13">
      <c r="M357" s="1"/>
    </row>
    <row r="358" spans="13:13">
      <c r="M358" s="1"/>
    </row>
    <row r="359" spans="13:13">
      <c r="M359" s="1"/>
    </row>
    <row r="360" spans="13:13">
      <c r="M360" s="1"/>
    </row>
    <row r="361" spans="13:13">
      <c r="M361" s="1"/>
    </row>
    <row r="362" spans="13:13">
      <c r="M362" s="1"/>
    </row>
    <row r="363" spans="13:13">
      <c r="M363" s="1"/>
    </row>
    <row r="364" spans="13:13">
      <c r="M364" s="1"/>
    </row>
    <row r="365" spans="13:13">
      <c r="M365" s="1"/>
    </row>
    <row r="366" spans="13:13">
      <c r="M366" s="1"/>
    </row>
    <row r="367" spans="13:13">
      <c r="M367" s="1"/>
    </row>
    <row r="368" spans="13:13">
      <c r="M368" s="1"/>
    </row>
    <row r="369" spans="13:13">
      <c r="M369" s="1"/>
    </row>
    <row r="370" spans="13:13">
      <c r="M370" s="1"/>
    </row>
    <row r="371" spans="13:13">
      <c r="M371" s="1"/>
    </row>
    <row r="372" spans="13:13">
      <c r="M372" s="1"/>
    </row>
    <row r="373" spans="13:13">
      <c r="M373" s="1"/>
    </row>
    <row r="374" spans="13:13">
      <c r="M374" s="1"/>
    </row>
    <row r="375" spans="13:13">
      <c r="M375" s="1"/>
    </row>
    <row r="376" spans="13:13">
      <c r="M376" s="1"/>
    </row>
    <row r="377" spans="13:13">
      <c r="M377" s="1"/>
    </row>
    <row r="378" spans="13:13">
      <c r="M378" s="1"/>
    </row>
    <row r="379" spans="13:13">
      <c r="M379" s="1"/>
    </row>
    <row r="380" spans="13:13">
      <c r="M380" s="1"/>
    </row>
    <row r="381" spans="13:13">
      <c r="M381" s="1"/>
    </row>
    <row r="382" spans="13:13">
      <c r="M382" s="1"/>
    </row>
    <row r="383" spans="13:13">
      <c r="M383" s="1"/>
    </row>
    <row r="384" spans="13:13">
      <c r="M384" s="1"/>
    </row>
    <row r="385" spans="13:13">
      <c r="M385" s="1"/>
    </row>
    <row r="386" spans="13:13">
      <c r="M386" s="1"/>
    </row>
    <row r="387" spans="13:13">
      <c r="M387" s="1"/>
    </row>
    <row r="388" spans="13:13">
      <c r="M388" s="1"/>
    </row>
    <row r="389" spans="13:13">
      <c r="M389" s="1"/>
    </row>
    <row r="390" spans="13:13">
      <c r="M390" s="1"/>
    </row>
    <row r="391" spans="13:13">
      <c r="M391" s="1"/>
    </row>
    <row r="392" spans="13:13">
      <c r="M392" s="1"/>
    </row>
    <row r="393" spans="13:13">
      <c r="M393" s="1"/>
    </row>
    <row r="394" spans="13:13">
      <c r="M394" s="1"/>
    </row>
    <row r="395" spans="13:13">
      <c r="M395" s="1"/>
    </row>
    <row r="396" spans="13:13">
      <c r="M396" s="1"/>
    </row>
    <row r="397" spans="13:13">
      <c r="M397" s="1"/>
    </row>
    <row r="398" spans="13:13">
      <c r="M398" s="1"/>
    </row>
    <row r="399" spans="13:13">
      <c r="M399" s="1"/>
    </row>
    <row r="400" spans="13:13">
      <c r="M400" s="1"/>
    </row>
    <row r="401" spans="13:13">
      <c r="M401" s="1"/>
    </row>
    <row r="402" spans="13:13">
      <c r="M402" s="1"/>
    </row>
    <row r="403" spans="13:13">
      <c r="M403" s="1"/>
    </row>
    <row r="404" spans="13:13">
      <c r="M404" s="1"/>
    </row>
    <row r="405" spans="13:13">
      <c r="M405" s="1"/>
    </row>
    <row r="406" spans="13:13">
      <c r="M406" s="1"/>
    </row>
    <row r="407" spans="13:13">
      <c r="M407" s="1"/>
    </row>
    <row r="408" spans="13:13">
      <c r="M408" s="1"/>
    </row>
    <row r="409" spans="13:13">
      <c r="M409" s="1"/>
    </row>
    <row r="410" spans="13:13">
      <c r="M410" s="1"/>
    </row>
    <row r="411" spans="13:13">
      <c r="M411" s="1"/>
    </row>
    <row r="412" spans="13:13">
      <c r="M412" s="1"/>
    </row>
    <row r="413" spans="13:13">
      <c r="M413" s="1"/>
    </row>
    <row r="414" spans="13:13">
      <c r="M414" s="1"/>
    </row>
    <row r="415" spans="13:13">
      <c r="M415" s="1"/>
    </row>
    <row r="416" spans="13:13">
      <c r="M416" s="1"/>
    </row>
    <row r="417" spans="13:13">
      <c r="M417" s="1"/>
    </row>
    <row r="418" spans="13:13">
      <c r="M418" s="1"/>
    </row>
    <row r="419" spans="13:13">
      <c r="M419" s="1"/>
    </row>
    <row r="420" spans="13:13">
      <c r="M420" s="1"/>
    </row>
    <row r="421" spans="13:13">
      <c r="M421" s="1"/>
    </row>
    <row r="422" spans="13:13">
      <c r="M422" s="1"/>
    </row>
    <row r="423" spans="13:13">
      <c r="M423" s="1"/>
    </row>
    <row r="424" spans="13:13">
      <c r="M424" s="1"/>
    </row>
    <row r="425" spans="13:13">
      <c r="M425" s="1"/>
    </row>
    <row r="426" spans="13:13">
      <c r="M426" s="1"/>
    </row>
    <row r="427" spans="13:13">
      <c r="M427" s="1"/>
    </row>
    <row r="428" spans="13:13">
      <c r="M428" s="1"/>
    </row>
    <row r="429" spans="13:13">
      <c r="M429" s="1"/>
    </row>
    <row r="430" spans="13:13">
      <c r="M430" s="1"/>
    </row>
    <row r="431" spans="13:13">
      <c r="M431" s="1"/>
    </row>
    <row r="432" spans="13:13">
      <c r="M432" s="1"/>
    </row>
    <row r="433" spans="13:13">
      <c r="M433" s="1"/>
    </row>
    <row r="434" spans="13:13">
      <c r="M434" s="1"/>
    </row>
    <row r="435" spans="13:13">
      <c r="M435" s="1"/>
    </row>
    <row r="436" spans="13:13">
      <c r="M436" s="1"/>
    </row>
    <row r="437" spans="13:13">
      <c r="M437" s="1"/>
    </row>
    <row r="438" spans="13:13">
      <c r="M438" s="1"/>
    </row>
    <row r="439" spans="13:13">
      <c r="M439" s="1"/>
    </row>
    <row r="440" spans="13:13">
      <c r="M440" s="1"/>
    </row>
    <row r="441" spans="13:13">
      <c r="M441" s="1"/>
    </row>
    <row r="442" spans="13:13">
      <c r="M442" s="1"/>
    </row>
    <row r="443" spans="13:13">
      <c r="M443" s="1"/>
    </row>
    <row r="444" spans="13:13">
      <c r="M444" s="1"/>
    </row>
    <row r="445" spans="13:13">
      <c r="M445" s="1"/>
    </row>
    <row r="446" spans="13:13">
      <c r="M446" s="1"/>
    </row>
    <row r="447" spans="13:13">
      <c r="M447" s="1"/>
    </row>
    <row r="448" spans="13:13">
      <c r="M448" s="1"/>
    </row>
    <row r="449" spans="13:13">
      <c r="M449" s="1"/>
    </row>
    <row r="450" spans="13:13">
      <c r="M450" s="1"/>
    </row>
    <row r="451" spans="13:13">
      <c r="M451" s="1"/>
    </row>
    <row r="452" spans="13:13">
      <c r="M452" s="1"/>
    </row>
    <row r="453" spans="13:13">
      <c r="M453" s="1"/>
    </row>
    <row r="454" spans="13:13">
      <c r="M454" s="1"/>
    </row>
    <row r="455" spans="13:13">
      <c r="M455" s="1"/>
    </row>
    <row r="456" spans="13:13">
      <c r="M456" s="1"/>
    </row>
    <row r="457" spans="13:13">
      <c r="M457" s="1"/>
    </row>
    <row r="458" spans="13:13">
      <c r="M458" s="1"/>
    </row>
    <row r="459" spans="13:13">
      <c r="M459" s="1"/>
    </row>
    <row r="460" spans="13:13">
      <c r="M460" s="1"/>
    </row>
    <row r="461" spans="13:13">
      <c r="M461" s="1"/>
    </row>
    <row r="462" spans="13:13">
      <c r="M462" s="1"/>
    </row>
    <row r="463" spans="13:13">
      <c r="M463" s="1"/>
    </row>
    <row r="464" spans="13:13">
      <c r="M464" s="1"/>
    </row>
    <row r="465" spans="13:13">
      <c r="M465" s="1"/>
    </row>
    <row r="466" spans="13:13">
      <c r="M466" s="1"/>
    </row>
    <row r="467" spans="13:13">
      <c r="M467" s="1"/>
    </row>
    <row r="468" spans="13:13">
      <c r="M468" s="1"/>
    </row>
    <row r="469" spans="13:13">
      <c r="M469" s="1"/>
    </row>
    <row r="470" spans="13:13">
      <c r="M470" s="1"/>
    </row>
    <row r="471" spans="13:13">
      <c r="M471" s="1"/>
    </row>
    <row r="472" spans="13:13">
      <c r="M472" s="1"/>
    </row>
    <row r="473" spans="13:13">
      <c r="M473" s="1"/>
    </row>
    <row r="474" spans="13:13">
      <c r="M474" s="1"/>
    </row>
    <row r="475" spans="13:13">
      <c r="M475" s="1"/>
    </row>
    <row r="476" spans="13:13">
      <c r="M476" s="1"/>
    </row>
    <row r="477" spans="13:13">
      <c r="M477" s="1"/>
    </row>
    <row r="478" spans="13:13">
      <c r="M478" s="1"/>
    </row>
    <row r="479" spans="13:13">
      <c r="M479" s="1"/>
    </row>
    <row r="480" spans="13:13">
      <c r="M480" s="1"/>
    </row>
    <row r="481" spans="13:13">
      <c r="M481" s="1"/>
    </row>
    <row r="482" spans="13:13">
      <c r="M482" s="1"/>
    </row>
    <row r="483" spans="13:13">
      <c r="M483" s="1"/>
    </row>
    <row r="484" spans="13:13">
      <c r="M484" s="1"/>
    </row>
    <row r="485" spans="13:13">
      <c r="M485" s="1"/>
    </row>
    <row r="486" spans="13:13">
      <c r="M486" s="1"/>
    </row>
    <row r="487" spans="13:13">
      <c r="M487" s="1"/>
    </row>
    <row r="488" spans="13:13">
      <c r="M488" s="1"/>
    </row>
    <row r="489" spans="13:13">
      <c r="M489" s="1"/>
    </row>
    <row r="490" spans="13:13">
      <c r="M490" s="1"/>
    </row>
    <row r="491" spans="13:13">
      <c r="M491" s="1"/>
    </row>
    <row r="492" spans="13:13">
      <c r="M492" s="1"/>
    </row>
    <row r="493" spans="13:13">
      <c r="M493" s="1"/>
    </row>
    <row r="494" spans="13:13">
      <c r="M494" s="1"/>
    </row>
    <row r="495" spans="13:13">
      <c r="M495" s="1"/>
    </row>
    <row r="496" spans="13:13">
      <c r="M496" s="1"/>
    </row>
    <row r="497" spans="13:13">
      <c r="M497" s="1"/>
    </row>
    <row r="498" spans="13:13">
      <c r="M498" s="1"/>
    </row>
    <row r="499" spans="13:13">
      <c r="M499" s="1"/>
    </row>
    <row r="500" spans="13:13">
      <c r="M500" s="1"/>
    </row>
    <row r="501" spans="13:13">
      <c r="M501" s="1"/>
    </row>
    <row r="502" spans="13:13">
      <c r="M502" s="1"/>
    </row>
    <row r="503" spans="13:13">
      <c r="M503" s="1"/>
    </row>
    <row r="504" spans="13:13">
      <c r="M504" s="1"/>
    </row>
    <row r="505" spans="13:13">
      <c r="M505" s="1"/>
    </row>
    <row r="506" spans="13:13">
      <c r="M506" s="1"/>
    </row>
    <row r="507" spans="13:13">
      <c r="M507" s="1"/>
    </row>
    <row r="508" spans="13:13">
      <c r="M508" s="1"/>
    </row>
    <row r="509" spans="13:13">
      <c r="M509" s="1"/>
    </row>
    <row r="510" spans="13:13">
      <c r="M510" s="1"/>
    </row>
    <row r="511" spans="13:13">
      <c r="M511" s="1"/>
    </row>
    <row r="512" spans="13:13">
      <c r="M512" s="1"/>
    </row>
    <row r="513" spans="13:13">
      <c r="M513" s="1"/>
    </row>
    <row r="514" spans="13:13">
      <c r="M514" s="1"/>
    </row>
    <row r="515" spans="13:13">
      <c r="M515" s="1"/>
    </row>
    <row r="516" spans="13:13">
      <c r="M516" s="1"/>
    </row>
    <row r="517" spans="13:13">
      <c r="M517" s="1"/>
    </row>
    <row r="518" spans="13:13">
      <c r="M518" s="1"/>
    </row>
    <row r="519" spans="13:13">
      <c r="M519" s="1"/>
    </row>
    <row r="520" spans="13:13">
      <c r="M520" s="1"/>
    </row>
    <row r="521" spans="13:13">
      <c r="M521" s="1"/>
    </row>
    <row r="522" spans="13:13">
      <c r="M522" s="1"/>
    </row>
    <row r="523" spans="13:13">
      <c r="M523" s="1"/>
    </row>
    <row r="524" spans="13:13">
      <c r="M524" s="1"/>
    </row>
    <row r="525" spans="13:13">
      <c r="M525" s="1"/>
    </row>
    <row r="526" spans="13:13">
      <c r="M526" s="1"/>
    </row>
    <row r="527" spans="13:13">
      <c r="M527" s="1"/>
    </row>
    <row r="528" spans="13:13">
      <c r="M528" s="1"/>
    </row>
    <row r="529" spans="13:13">
      <c r="M529" s="1"/>
    </row>
    <row r="530" spans="13:13">
      <c r="M530" s="1"/>
    </row>
    <row r="531" spans="13:13">
      <c r="M531" s="1"/>
    </row>
    <row r="532" spans="13:13">
      <c r="M532" s="1"/>
    </row>
    <row r="533" spans="13:13">
      <c r="M533" s="1"/>
    </row>
    <row r="534" spans="13:13">
      <c r="M534" s="1"/>
    </row>
    <row r="535" spans="13:13">
      <c r="M535" s="1"/>
    </row>
    <row r="536" spans="13:13">
      <c r="M536" s="1"/>
    </row>
    <row r="537" spans="13:13">
      <c r="M537" s="1"/>
    </row>
    <row r="538" spans="13:13">
      <c r="M538" s="1"/>
    </row>
    <row r="539" spans="13:13">
      <c r="M539" s="1"/>
    </row>
    <row r="540" spans="13:13">
      <c r="M540" s="1"/>
    </row>
    <row r="541" spans="13:13">
      <c r="M541" s="1"/>
    </row>
    <row r="542" spans="13:13">
      <c r="M542" s="1"/>
    </row>
    <row r="543" spans="13:13">
      <c r="M543" s="1"/>
    </row>
    <row r="544" spans="13:13">
      <c r="M544" s="1"/>
    </row>
    <row r="545" spans="13:13">
      <c r="M545" s="1"/>
    </row>
    <row r="546" spans="13:13">
      <c r="M546" s="1"/>
    </row>
    <row r="547" spans="13:13">
      <c r="M547" s="1"/>
    </row>
    <row r="548" spans="13:13">
      <c r="M548" s="1"/>
    </row>
    <row r="549" spans="13:13">
      <c r="M549" s="1"/>
    </row>
    <row r="550" spans="13:13">
      <c r="M550" s="1"/>
    </row>
    <row r="551" spans="13:13">
      <c r="M551" s="1"/>
    </row>
    <row r="552" spans="13:13">
      <c r="M552" s="1"/>
    </row>
    <row r="553" spans="13:13">
      <c r="M553" s="1"/>
    </row>
    <row r="554" spans="13:13">
      <c r="M554" s="1"/>
    </row>
    <row r="555" spans="13:13">
      <c r="M555" s="1"/>
    </row>
    <row r="556" spans="13:13">
      <c r="M556" s="1"/>
    </row>
    <row r="557" spans="13:13">
      <c r="M557" s="1"/>
    </row>
    <row r="558" spans="13:13">
      <c r="M558" s="1"/>
    </row>
    <row r="559" spans="13:13">
      <c r="M559" s="1"/>
    </row>
    <row r="560" spans="13:13">
      <c r="M560" s="1"/>
    </row>
    <row r="561" spans="13:13">
      <c r="M561" s="1"/>
    </row>
    <row r="562" spans="13:13">
      <c r="M562" s="1"/>
    </row>
    <row r="563" spans="13:13">
      <c r="M563" s="1"/>
    </row>
    <row r="564" spans="13:13">
      <c r="M564" s="1"/>
    </row>
    <row r="565" spans="13:13">
      <c r="M565" s="1"/>
    </row>
    <row r="566" spans="13:13">
      <c r="M566" s="1"/>
    </row>
    <row r="567" spans="13:13">
      <c r="M567" s="1"/>
    </row>
    <row r="568" spans="13:13">
      <c r="M568" s="1"/>
    </row>
    <row r="569" spans="13:13">
      <c r="M569" s="1"/>
    </row>
    <row r="570" spans="13:13">
      <c r="M570" s="1"/>
    </row>
    <row r="571" spans="13:13">
      <c r="M571" s="1"/>
    </row>
    <row r="572" spans="13:13">
      <c r="M572" s="1"/>
    </row>
    <row r="573" spans="13:13">
      <c r="M573" s="1"/>
    </row>
    <row r="574" spans="13:13">
      <c r="M574" s="1"/>
    </row>
    <row r="575" spans="13:13">
      <c r="M575" s="1"/>
    </row>
    <row r="576" spans="13:13">
      <c r="M576" s="1"/>
    </row>
    <row r="577" spans="13:13">
      <c r="M577" s="1"/>
    </row>
    <row r="578" spans="13:13">
      <c r="M578" s="1"/>
    </row>
    <row r="579" spans="13:13">
      <c r="M579" s="1"/>
    </row>
    <row r="580" spans="13:13">
      <c r="M580" s="1"/>
    </row>
    <row r="581" spans="13:13">
      <c r="M581" s="1"/>
    </row>
    <row r="582" spans="13:13">
      <c r="M582" s="1"/>
    </row>
    <row r="583" spans="13:13">
      <c r="M583" s="1"/>
    </row>
    <row r="584" spans="13:13">
      <c r="M584" s="1"/>
    </row>
    <row r="585" spans="13:13">
      <c r="M585" s="1"/>
    </row>
    <row r="586" spans="13:13">
      <c r="M586" s="1"/>
    </row>
    <row r="587" spans="13:13">
      <c r="M587" s="1"/>
    </row>
    <row r="588" spans="13:13">
      <c r="M588" s="1"/>
    </row>
    <row r="589" spans="13:13">
      <c r="M589" s="1"/>
    </row>
    <row r="590" spans="13:13">
      <c r="M590" s="1"/>
    </row>
    <row r="591" spans="13:13">
      <c r="M591" s="1"/>
    </row>
    <row r="592" spans="13:13">
      <c r="M592" s="1"/>
    </row>
    <row r="593" spans="13:13">
      <c r="M593" s="1"/>
    </row>
    <row r="594" spans="13:13">
      <c r="M594" s="1"/>
    </row>
    <row r="595" spans="13:13">
      <c r="M595" s="1"/>
    </row>
    <row r="596" spans="13:13">
      <c r="M596" s="1"/>
    </row>
    <row r="597" spans="13:13">
      <c r="M597" s="1"/>
    </row>
    <row r="598" spans="13:13">
      <c r="M598" s="1"/>
    </row>
    <row r="599" spans="13:13">
      <c r="M599" s="1"/>
    </row>
    <row r="600" spans="13:13">
      <c r="M600" s="1"/>
    </row>
    <row r="601" spans="13:13">
      <c r="M601" s="1"/>
    </row>
    <row r="602" spans="13:13">
      <c r="M602" s="1"/>
    </row>
    <row r="603" spans="13:13">
      <c r="M603" s="1"/>
    </row>
    <row r="604" spans="13:13">
      <c r="M604" s="1"/>
    </row>
    <row r="605" spans="13:13">
      <c r="M605" s="1"/>
    </row>
    <row r="606" spans="13:13">
      <c r="M606" s="1"/>
    </row>
    <row r="607" spans="13:13">
      <c r="M607" s="1"/>
    </row>
    <row r="608" spans="13:13">
      <c r="M608" s="1"/>
    </row>
    <row r="609" spans="13:13">
      <c r="M609" s="1"/>
    </row>
    <row r="610" spans="13:13">
      <c r="M610" s="1"/>
    </row>
    <row r="611" spans="13:13">
      <c r="M611" s="1"/>
    </row>
    <row r="612" spans="13:13">
      <c r="M612" s="1"/>
    </row>
    <row r="613" spans="13:13">
      <c r="M613" s="1"/>
    </row>
    <row r="614" spans="13:13">
      <c r="M614" s="1"/>
    </row>
    <row r="615" spans="13:13">
      <c r="M615" s="1"/>
    </row>
    <row r="616" spans="13:13">
      <c r="M616" s="1"/>
    </row>
    <row r="617" spans="13:13">
      <c r="M617" s="1"/>
    </row>
    <row r="618" spans="13:13">
      <c r="M618" s="1"/>
    </row>
    <row r="619" spans="13:13">
      <c r="M619" s="1"/>
    </row>
    <row r="620" spans="13:13">
      <c r="M620" s="1"/>
    </row>
    <row r="621" spans="13:13">
      <c r="M621" s="1"/>
    </row>
    <row r="622" spans="13:13">
      <c r="M622" s="1"/>
    </row>
    <row r="623" spans="13:13">
      <c r="M623" s="1"/>
    </row>
    <row r="624" spans="13:13">
      <c r="M624" s="1"/>
    </row>
    <row r="625" spans="13:13">
      <c r="M625" s="1"/>
    </row>
    <row r="626" spans="13:13">
      <c r="M626" s="1"/>
    </row>
    <row r="627" spans="13:13">
      <c r="M627" s="1"/>
    </row>
    <row r="628" spans="13:13">
      <c r="M628" s="1"/>
    </row>
    <row r="629" spans="13:13">
      <c r="M629" s="1"/>
    </row>
    <row r="630" spans="13:13">
      <c r="M630" s="1"/>
    </row>
    <row r="631" spans="13:13">
      <c r="M631" s="1"/>
    </row>
    <row r="632" spans="13:13">
      <c r="M632" s="1"/>
    </row>
    <row r="633" spans="13:13">
      <c r="M633" s="1"/>
    </row>
    <row r="634" spans="13:13">
      <c r="M634" s="1"/>
    </row>
    <row r="635" spans="13:13">
      <c r="M635" s="1"/>
    </row>
    <row r="636" spans="13:13">
      <c r="M636" s="1"/>
    </row>
    <row r="637" spans="13:13">
      <c r="M637" s="1"/>
    </row>
    <row r="638" spans="13:13">
      <c r="M638" s="1"/>
    </row>
    <row r="639" spans="13:13">
      <c r="M639" s="1"/>
    </row>
    <row r="640" spans="13:13">
      <c r="M640" s="1"/>
    </row>
    <row r="641" spans="13:13">
      <c r="M641" s="1"/>
    </row>
    <row r="642" spans="13:13">
      <c r="M642" s="1"/>
    </row>
    <row r="643" spans="13:13">
      <c r="M643" s="1"/>
    </row>
    <row r="644" spans="13:13">
      <c r="M644" s="1"/>
    </row>
    <row r="645" spans="13:13">
      <c r="M645" s="1"/>
    </row>
    <row r="646" spans="13:13">
      <c r="M646" s="1"/>
    </row>
    <row r="647" spans="13:13">
      <c r="M647" s="1"/>
    </row>
    <row r="648" spans="13:13">
      <c r="M648" s="1"/>
    </row>
    <row r="649" spans="13:13">
      <c r="M649" s="1"/>
    </row>
    <row r="650" spans="13:13">
      <c r="M650" s="1"/>
    </row>
    <row r="651" spans="13:13">
      <c r="M651" s="1"/>
    </row>
    <row r="652" spans="13:13">
      <c r="M652" s="1"/>
    </row>
    <row r="653" spans="13:13">
      <c r="M653" s="1"/>
    </row>
    <row r="654" spans="13:13">
      <c r="M654" s="1"/>
    </row>
    <row r="655" spans="13:13">
      <c r="M655" s="1"/>
    </row>
    <row r="656" spans="13:13">
      <c r="M656" s="1"/>
    </row>
    <row r="657" spans="13:13">
      <c r="M657" s="1"/>
    </row>
    <row r="658" spans="13:13">
      <c r="M658" s="1"/>
    </row>
    <row r="659" spans="13:13">
      <c r="M659" s="1"/>
    </row>
    <row r="660" spans="13:13">
      <c r="M660" s="1"/>
    </row>
    <row r="661" spans="13:13">
      <c r="M661" s="1"/>
    </row>
    <row r="662" spans="13:13">
      <c r="M662" s="1"/>
    </row>
    <row r="663" spans="13:13">
      <c r="M663" s="1"/>
    </row>
    <row r="664" spans="13:13">
      <c r="M664" s="1"/>
    </row>
    <row r="665" spans="13:13">
      <c r="M665" s="1"/>
    </row>
    <row r="666" spans="13:13">
      <c r="M666" s="1"/>
    </row>
    <row r="667" spans="13:13">
      <c r="M667" s="1"/>
    </row>
    <row r="668" spans="13:13">
      <c r="M668" s="1"/>
    </row>
    <row r="669" spans="13:13">
      <c r="M669" s="1"/>
    </row>
    <row r="670" spans="13:13">
      <c r="M670" s="1"/>
    </row>
    <row r="671" spans="13:13">
      <c r="M671" s="1"/>
    </row>
    <row r="672" spans="13:13">
      <c r="M672" s="1"/>
    </row>
    <row r="673" spans="13:13">
      <c r="M673" s="1"/>
    </row>
    <row r="674" spans="13:13">
      <c r="M674" s="1"/>
    </row>
    <row r="675" spans="13:13">
      <c r="M675" s="1"/>
    </row>
    <row r="676" spans="13:13">
      <c r="M676" s="1"/>
    </row>
    <row r="677" spans="13:13">
      <c r="M677" s="1"/>
    </row>
    <row r="678" spans="13:13">
      <c r="M678" s="1"/>
    </row>
    <row r="679" spans="13:13">
      <c r="M679" s="1"/>
    </row>
    <row r="680" spans="13:13">
      <c r="M680" s="1"/>
    </row>
    <row r="681" spans="13:13">
      <c r="M681" s="1"/>
    </row>
    <row r="682" spans="13:13">
      <c r="M682" s="1"/>
    </row>
    <row r="683" spans="13:13">
      <c r="M683" s="1"/>
    </row>
    <row r="684" spans="13:13">
      <c r="M684" s="1"/>
    </row>
    <row r="685" spans="13:13">
      <c r="M685" s="1"/>
    </row>
    <row r="686" spans="13:13">
      <c r="M686" s="1"/>
    </row>
    <row r="687" spans="13:13">
      <c r="M687" s="1"/>
    </row>
    <row r="688" spans="13:13">
      <c r="M688" s="1"/>
    </row>
    <row r="689" spans="13:13">
      <c r="M689" s="1"/>
    </row>
    <row r="690" spans="13:13">
      <c r="M690" s="1"/>
    </row>
    <row r="691" spans="13:13">
      <c r="M691" s="1"/>
    </row>
    <row r="692" spans="13:13">
      <c r="M692" s="1"/>
    </row>
    <row r="693" spans="13:13">
      <c r="M693" s="1"/>
    </row>
    <row r="694" spans="13:13">
      <c r="M694" s="1"/>
    </row>
    <row r="695" spans="13:13">
      <c r="M695" s="1"/>
    </row>
    <row r="696" spans="13:13">
      <c r="M696" s="1"/>
    </row>
    <row r="697" spans="13:13">
      <c r="M697" s="1"/>
    </row>
    <row r="698" spans="13:13">
      <c r="M698" s="1"/>
    </row>
    <row r="699" spans="13:13">
      <c r="M699" s="1"/>
    </row>
    <row r="700" spans="13:13">
      <c r="M700" s="1"/>
    </row>
    <row r="701" spans="13:13">
      <c r="M701" s="1"/>
    </row>
    <row r="702" spans="13:13">
      <c r="M702" s="1"/>
    </row>
    <row r="703" spans="13:13">
      <c r="M703" s="1"/>
    </row>
    <row r="704" spans="13:13">
      <c r="M704" s="1"/>
    </row>
    <row r="705" spans="13:13">
      <c r="M705" s="1"/>
    </row>
    <row r="706" spans="13:13">
      <c r="M706" s="1"/>
    </row>
    <row r="707" spans="13:13">
      <c r="M707" s="1"/>
    </row>
    <row r="708" spans="13:13">
      <c r="M708" s="1"/>
    </row>
    <row r="709" spans="13:13">
      <c r="M709" s="1"/>
    </row>
    <row r="710" spans="13:13">
      <c r="M710" s="1"/>
    </row>
    <row r="711" spans="13:13">
      <c r="M711" s="1"/>
    </row>
    <row r="712" spans="13:13">
      <c r="M712" s="1"/>
    </row>
    <row r="713" spans="13:13">
      <c r="M713" s="1"/>
    </row>
    <row r="714" spans="13:13">
      <c r="M714" s="1"/>
    </row>
    <row r="715" spans="13:13">
      <c r="M715" s="1"/>
    </row>
    <row r="716" spans="13:13">
      <c r="M716" s="1"/>
    </row>
    <row r="717" spans="13:13">
      <c r="M717" s="1"/>
    </row>
    <row r="718" spans="13:13">
      <c r="M718" s="1"/>
    </row>
    <row r="719" spans="13:13">
      <c r="M719" s="1"/>
    </row>
    <row r="720" spans="13:13">
      <c r="M720" s="1"/>
    </row>
    <row r="721" spans="13:13">
      <c r="M721" s="1"/>
    </row>
    <row r="722" spans="13:13">
      <c r="M722" s="1"/>
    </row>
    <row r="723" spans="13:13">
      <c r="M723" s="1"/>
    </row>
    <row r="724" spans="13:13">
      <c r="M724" s="1"/>
    </row>
    <row r="725" spans="13:13">
      <c r="M725" s="1"/>
    </row>
    <row r="726" spans="13:13">
      <c r="M726" s="1"/>
    </row>
    <row r="727" spans="13:13">
      <c r="M727" s="1"/>
    </row>
    <row r="728" spans="13:13">
      <c r="M728" s="1"/>
    </row>
    <row r="729" spans="13:13">
      <c r="M729" s="1"/>
    </row>
    <row r="730" spans="13:13">
      <c r="M730" s="1"/>
    </row>
    <row r="731" spans="13:13">
      <c r="M731" s="1"/>
    </row>
    <row r="732" spans="13:13">
      <c r="M732" s="1"/>
    </row>
    <row r="733" spans="13:13">
      <c r="M733" s="1"/>
    </row>
    <row r="734" spans="13:13">
      <c r="M734" s="1"/>
    </row>
    <row r="735" spans="13:13">
      <c r="M735" s="1"/>
    </row>
    <row r="736" spans="13:13">
      <c r="M736" s="1"/>
    </row>
    <row r="737" spans="13:13">
      <c r="M737" s="1"/>
    </row>
    <row r="738" spans="13:13">
      <c r="M738" s="1"/>
    </row>
    <row r="739" spans="13:13">
      <c r="M739" s="1"/>
    </row>
    <row r="740" spans="13:13">
      <c r="M740" s="1"/>
    </row>
    <row r="741" spans="13:13">
      <c r="M741" s="1"/>
    </row>
    <row r="742" spans="13:13">
      <c r="M742" s="1"/>
    </row>
    <row r="743" spans="13:13">
      <c r="M743" s="1"/>
    </row>
    <row r="744" spans="13:13">
      <c r="M744" s="1"/>
    </row>
    <row r="745" spans="13:13">
      <c r="M745" s="1"/>
    </row>
    <row r="746" spans="13:13">
      <c r="M746" s="1"/>
    </row>
    <row r="747" spans="13:13">
      <c r="M747" s="1"/>
    </row>
    <row r="748" spans="13:13">
      <c r="M748" s="1"/>
    </row>
    <row r="749" spans="13:13">
      <c r="M749" s="1"/>
    </row>
    <row r="750" spans="13:13">
      <c r="M750" s="1"/>
    </row>
    <row r="751" spans="13:13">
      <c r="M751" s="1"/>
    </row>
    <row r="752" spans="13:13">
      <c r="M752" s="1"/>
    </row>
    <row r="753" spans="13:13">
      <c r="M753" s="1"/>
    </row>
    <row r="754" spans="13:13">
      <c r="M754" s="1"/>
    </row>
    <row r="755" spans="13:13">
      <c r="M755" s="1"/>
    </row>
    <row r="756" spans="13:13">
      <c r="M756" s="1"/>
    </row>
    <row r="757" spans="13:13">
      <c r="M757" s="1"/>
    </row>
    <row r="758" spans="13:13">
      <c r="M758" s="1"/>
    </row>
    <row r="759" spans="13:13">
      <c r="M759" s="1"/>
    </row>
    <row r="760" spans="13:13">
      <c r="M760" s="1"/>
    </row>
    <row r="761" spans="13:13">
      <c r="M761" s="1"/>
    </row>
    <row r="762" spans="13:13">
      <c r="M762" s="1"/>
    </row>
    <row r="763" spans="13:13">
      <c r="M763" s="1"/>
    </row>
    <row r="764" spans="13:13">
      <c r="M764" s="1"/>
    </row>
    <row r="765" spans="13:13">
      <c r="M765" s="1"/>
    </row>
    <row r="766" spans="13:13">
      <c r="M766" s="1"/>
    </row>
    <row r="767" spans="13:13">
      <c r="M767" s="1"/>
    </row>
    <row r="768" spans="13:13">
      <c r="M768" s="1"/>
    </row>
    <row r="769" spans="13:13">
      <c r="M769" s="1"/>
    </row>
    <row r="770" spans="13:13">
      <c r="M770" s="1"/>
    </row>
    <row r="771" spans="13:13">
      <c r="M771" s="1"/>
    </row>
    <row r="772" spans="13:13">
      <c r="M772" s="1"/>
    </row>
    <row r="773" spans="13:13">
      <c r="M773" s="1"/>
    </row>
    <row r="774" spans="13:13">
      <c r="M774" s="1"/>
    </row>
    <row r="775" spans="13:13">
      <c r="M775" s="1"/>
    </row>
    <row r="776" spans="13:13">
      <c r="M776" s="1"/>
    </row>
    <row r="777" spans="13:13">
      <c r="M777" s="1"/>
    </row>
    <row r="778" spans="13:13">
      <c r="M778" s="1"/>
    </row>
    <row r="779" spans="13:13">
      <c r="M779" s="1"/>
    </row>
    <row r="780" spans="13:13">
      <c r="M780" s="1"/>
    </row>
    <row r="781" spans="13:13">
      <c r="M781" s="1"/>
    </row>
    <row r="782" spans="13:13">
      <c r="M782" s="1"/>
    </row>
    <row r="783" spans="13:13">
      <c r="M783" s="1"/>
    </row>
    <row r="784" spans="13:13">
      <c r="M784" s="1"/>
    </row>
    <row r="785" spans="13:13">
      <c r="M785" s="1"/>
    </row>
    <row r="786" spans="13:13">
      <c r="M786" s="1"/>
    </row>
    <row r="787" spans="13:13">
      <c r="M787" s="1"/>
    </row>
    <row r="788" spans="13:13">
      <c r="M788" s="1"/>
    </row>
    <row r="789" spans="13:13">
      <c r="M789" s="1"/>
    </row>
    <row r="790" spans="13:13">
      <c r="M790" s="1"/>
    </row>
    <row r="791" spans="13:13">
      <c r="M791" s="1"/>
    </row>
    <row r="792" spans="13:13">
      <c r="M792" s="1"/>
    </row>
    <row r="793" spans="13:13">
      <c r="M793" s="1"/>
    </row>
    <row r="794" spans="13:13">
      <c r="M794" s="1"/>
    </row>
    <row r="795" spans="13:13">
      <c r="M795" s="1"/>
    </row>
    <row r="796" spans="13:13">
      <c r="M796" s="1"/>
    </row>
    <row r="797" spans="13:13">
      <c r="M797" s="1"/>
    </row>
    <row r="798" spans="13:13">
      <c r="M798" s="1"/>
    </row>
    <row r="799" spans="13:13">
      <c r="M799" s="1"/>
    </row>
    <row r="800" spans="13:13">
      <c r="M800" s="1"/>
    </row>
    <row r="801" spans="13:13">
      <c r="M801" s="1"/>
    </row>
    <row r="802" spans="13:13">
      <c r="M802" s="1"/>
    </row>
    <row r="803" spans="13:13">
      <c r="M803" s="1"/>
    </row>
    <row r="804" spans="13:13">
      <c r="M804" s="1"/>
    </row>
    <row r="805" spans="13:13">
      <c r="M805" s="1"/>
    </row>
    <row r="806" spans="13:13">
      <c r="M806" s="1"/>
    </row>
    <row r="807" spans="13:13">
      <c r="M807" s="1"/>
    </row>
    <row r="808" spans="13:13">
      <c r="M808" s="1"/>
    </row>
    <row r="809" spans="13:13">
      <c r="M809" s="1"/>
    </row>
    <row r="810" spans="13:13">
      <c r="M810" s="1"/>
    </row>
    <row r="811" spans="13:13">
      <c r="M811" s="1"/>
    </row>
    <row r="812" spans="13:13">
      <c r="M812" s="1"/>
    </row>
    <row r="813" spans="13:13">
      <c r="M813" s="1"/>
    </row>
    <row r="814" spans="13:13">
      <c r="M814" s="1"/>
    </row>
    <row r="815" spans="13:13">
      <c r="M815" s="1"/>
    </row>
    <row r="816" spans="13:13">
      <c r="M816" s="1"/>
    </row>
    <row r="817" spans="13:13">
      <c r="M817" s="1"/>
    </row>
    <row r="818" spans="13:13">
      <c r="M818" s="1"/>
    </row>
    <row r="819" spans="13:13">
      <c r="M819" s="1"/>
    </row>
    <row r="820" spans="13:13">
      <c r="M820" s="1"/>
    </row>
    <row r="821" spans="13:13">
      <c r="M821" s="1"/>
    </row>
    <row r="822" spans="13:13">
      <c r="M822" s="1"/>
    </row>
    <row r="823" spans="13:13">
      <c r="M823" s="1"/>
    </row>
    <row r="824" spans="13:13">
      <c r="M824" s="1"/>
    </row>
    <row r="825" spans="13:13">
      <c r="M825" s="1"/>
    </row>
    <row r="826" spans="13:13">
      <c r="M826" s="1"/>
    </row>
    <row r="827" spans="13:13">
      <c r="M827" s="1"/>
    </row>
    <row r="828" spans="13:13">
      <c r="M828" s="1"/>
    </row>
    <row r="829" spans="13:13">
      <c r="M829" s="1"/>
    </row>
    <row r="830" spans="13:13">
      <c r="M830" s="1"/>
    </row>
    <row r="831" spans="13:13">
      <c r="M831" s="1"/>
    </row>
    <row r="832" spans="13:13">
      <c r="M832" s="1"/>
    </row>
    <row r="833" spans="13:13">
      <c r="M833" s="1"/>
    </row>
    <row r="834" spans="13:13">
      <c r="M834" s="1"/>
    </row>
    <row r="835" spans="13:13">
      <c r="M835" s="1"/>
    </row>
    <row r="836" spans="13:13">
      <c r="M836" s="1"/>
    </row>
    <row r="837" spans="13:13">
      <c r="M837" s="1"/>
    </row>
    <row r="838" spans="13:13">
      <c r="M838" s="1"/>
    </row>
    <row r="839" spans="13:13">
      <c r="M839" s="1"/>
    </row>
    <row r="840" spans="13:13">
      <c r="M840" s="1"/>
    </row>
    <row r="841" spans="13:13">
      <c r="M841" s="1"/>
    </row>
    <row r="842" spans="13:13">
      <c r="M842" s="1"/>
    </row>
    <row r="843" spans="13:13">
      <c r="M843" s="1"/>
    </row>
    <row r="844" spans="13:13">
      <c r="M844" s="1"/>
    </row>
    <row r="845" spans="13:13">
      <c r="M845" s="1"/>
    </row>
    <row r="846" spans="13:13">
      <c r="M846" s="1"/>
    </row>
    <row r="847" spans="13:13">
      <c r="M847" s="1"/>
    </row>
    <row r="848" spans="13:13">
      <c r="M848" s="1"/>
    </row>
    <row r="849" spans="13:13">
      <c r="M849" s="1"/>
    </row>
    <row r="850" spans="13:13">
      <c r="M850" s="1"/>
    </row>
    <row r="851" spans="13:13">
      <c r="M851" s="1"/>
    </row>
    <row r="852" spans="13:13">
      <c r="M852" s="1"/>
    </row>
    <row r="853" spans="13:13">
      <c r="M853" s="1"/>
    </row>
    <row r="854" spans="13:13">
      <c r="M854" s="1"/>
    </row>
    <row r="855" spans="13:13">
      <c r="M855" s="1"/>
    </row>
    <row r="856" spans="13:13">
      <c r="M856" s="1"/>
    </row>
    <row r="857" spans="13:13">
      <c r="M857" s="1"/>
    </row>
    <row r="858" spans="13:13">
      <c r="M858" s="1"/>
    </row>
    <row r="859" spans="13:13">
      <c r="M859" s="1"/>
    </row>
    <row r="860" spans="13:13">
      <c r="M860" s="1"/>
    </row>
    <row r="861" spans="13:13">
      <c r="M861" s="1"/>
    </row>
    <row r="862" spans="13:13">
      <c r="M862" s="1"/>
    </row>
    <row r="863" spans="13:13">
      <c r="M863" s="1"/>
    </row>
    <row r="864" spans="13:13">
      <c r="M864" s="1"/>
    </row>
    <row r="865" spans="13:13">
      <c r="M865" s="1"/>
    </row>
    <row r="866" spans="13:13">
      <c r="M866" s="1"/>
    </row>
    <row r="867" spans="13:13">
      <c r="M867" s="1"/>
    </row>
    <row r="868" spans="13:13">
      <c r="M868" s="1"/>
    </row>
    <row r="869" spans="13:13">
      <c r="M869" s="1"/>
    </row>
    <row r="870" spans="13:13">
      <c r="M870" s="1"/>
    </row>
    <row r="871" spans="13:13">
      <c r="M871" s="1"/>
    </row>
    <row r="872" spans="13:13">
      <c r="M872" s="1"/>
    </row>
    <row r="873" spans="13:13">
      <c r="M873" s="1"/>
    </row>
    <row r="874" spans="13:13">
      <c r="M874" s="1"/>
    </row>
    <row r="875" spans="13:13">
      <c r="M875" s="1"/>
    </row>
    <row r="876" spans="13:13">
      <c r="M876" s="1"/>
    </row>
    <row r="877" spans="13:13">
      <c r="M877" s="1"/>
    </row>
    <row r="878" spans="13:13">
      <c r="M878" s="1"/>
    </row>
    <row r="879" spans="13:13">
      <c r="M879" s="1"/>
    </row>
    <row r="880" spans="13:13">
      <c r="M880" s="1"/>
    </row>
    <row r="881" spans="13:13">
      <c r="M881" s="1"/>
    </row>
    <row r="882" spans="13:13">
      <c r="M882" s="1"/>
    </row>
    <row r="883" spans="13:13">
      <c r="M883" s="1"/>
    </row>
    <row r="884" spans="13:13">
      <c r="M884" s="1"/>
    </row>
    <row r="885" spans="13:13">
      <c r="M885" s="1"/>
    </row>
    <row r="886" spans="13:13">
      <c r="M886" s="1"/>
    </row>
    <row r="887" spans="13:13">
      <c r="M887" s="1"/>
    </row>
    <row r="888" spans="13:13">
      <c r="M888" s="1"/>
    </row>
    <row r="889" spans="13:13">
      <c r="M889" s="1"/>
    </row>
    <row r="890" spans="13:13">
      <c r="M890" s="1"/>
    </row>
    <row r="891" spans="13:13">
      <c r="M891" s="1"/>
    </row>
    <row r="892" spans="13:13">
      <c r="M892" s="1"/>
    </row>
    <row r="893" spans="13:13">
      <c r="M893" s="1"/>
    </row>
    <row r="894" spans="13:13">
      <c r="M894" s="1"/>
    </row>
    <row r="895" spans="13:13">
      <c r="M895" s="1"/>
    </row>
    <row r="896" spans="13:13">
      <c r="M896" s="1"/>
    </row>
    <row r="897" spans="13:13">
      <c r="M897" s="1"/>
    </row>
    <row r="898" spans="13:13">
      <c r="M898" s="1"/>
    </row>
    <row r="899" spans="13:13">
      <c r="M899" s="1"/>
    </row>
    <row r="900" spans="13:13">
      <c r="M900" s="1"/>
    </row>
    <row r="901" spans="13:13">
      <c r="M901" s="1"/>
    </row>
    <row r="902" spans="13:13">
      <c r="M902" s="1"/>
    </row>
    <row r="903" spans="13:13">
      <c r="M903" s="1"/>
    </row>
    <row r="904" spans="13:13">
      <c r="M904" s="1"/>
    </row>
    <row r="905" spans="13:13">
      <c r="M905" s="1"/>
    </row>
    <row r="906" spans="13:13">
      <c r="M906" s="1"/>
    </row>
    <row r="907" spans="13:13">
      <c r="M907" s="1"/>
    </row>
    <row r="908" spans="13:13">
      <c r="M908" s="1"/>
    </row>
    <row r="909" spans="13:13">
      <c r="M909" s="1"/>
    </row>
    <row r="910" spans="13:13">
      <c r="M910" s="1"/>
    </row>
    <row r="911" spans="13:13">
      <c r="M911" s="1"/>
    </row>
    <row r="912" spans="13:13">
      <c r="M912" s="1"/>
    </row>
    <row r="913" spans="13:13">
      <c r="M913" s="1"/>
    </row>
    <row r="914" spans="13:13">
      <c r="M914" s="1"/>
    </row>
    <row r="915" spans="13:13">
      <c r="M915" s="1"/>
    </row>
    <row r="916" spans="13:13">
      <c r="M916" s="1"/>
    </row>
    <row r="917" spans="13:13">
      <c r="M917" s="1"/>
    </row>
    <row r="918" spans="13:13">
      <c r="M918" s="1"/>
    </row>
    <row r="919" spans="13:13">
      <c r="M919" s="1"/>
    </row>
    <row r="920" spans="13:13">
      <c r="M920" s="1"/>
    </row>
    <row r="921" spans="13:13">
      <c r="M921" s="1"/>
    </row>
    <row r="922" spans="13:13">
      <c r="M922" s="1"/>
    </row>
    <row r="923" spans="13:13">
      <c r="M923" s="1"/>
    </row>
    <row r="924" spans="13:13">
      <c r="M924" s="1"/>
    </row>
    <row r="925" spans="13:13">
      <c r="M925" s="1"/>
    </row>
    <row r="926" spans="13:13">
      <c r="M926" s="1"/>
    </row>
    <row r="927" spans="13:13">
      <c r="M927" s="1"/>
    </row>
    <row r="928" spans="13:13">
      <c r="M928" s="1"/>
    </row>
    <row r="929" spans="13:13">
      <c r="M929" s="1"/>
    </row>
    <row r="930" spans="13:13">
      <c r="M930" s="1"/>
    </row>
    <row r="931" spans="13:13">
      <c r="M931" s="1"/>
    </row>
    <row r="932" spans="13:13">
      <c r="M932" s="1"/>
    </row>
    <row r="933" spans="13:13">
      <c r="M933" s="1"/>
    </row>
    <row r="934" spans="13:13">
      <c r="M934" s="1"/>
    </row>
    <row r="935" spans="13:13">
      <c r="M935" s="1"/>
    </row>
    <row r="936" spans="13:13">
      <c r="M936" s="1"/>
    </row>
    <row r="937" spans="13:13">
      <c r="M937" s="1"/>
    </row>
    <row r="938" spans="13:13">
      <c r="M938" s="1"/>
    </row>
    <row r="939" spans="13:13">
      <c r="M939" s="1"/>
    </row>
    <row r="940" spans="13:13">
      <c r="M940" s="1"/>
    </row>
    <row r="941" spans="13:13">
      <c r="M941" s="1"/>
    </row>
    <row r="942" spans="13:13">
      <c r="M942" s="1"/>
    </row>
    <row r="943" spans="13:13">
      <c r="M943" s="1"/>
    </row>
    <row r="944" spans="13:13">
      <c r="M944" s="1"/>
    </row>
    <row r="945" spans="13:13">
      <c r="M945" s="1"/>
    </row>
    <row r="946" spans="13:13">
      <c r="M946" s="1"/>
    </row>
    <row r="947" spans="13:13">
      <c r="M947" s="1"/>
    </row>
    <row r="948" spans="13:13">
      <c r="M948" s="1"/>
    </row>
    <row r="949" spans="13:13">
      <c r="M949" s="1"/>
    </row>
    <row r="950" spans="13:13">
      <c r="M950" s="1"/>
    </row>
    <row r="951" spans="13:13">
      <c r="M951" s="1"/>
    </row>
    <row r="952" spans="13:13">
      <c r="M952" s="1"/>
    </row>
    <row r="953" spans="13:13">
      <c r="M953" s="1"/>
    </row>
    <row r="954" spans="13:13">
      <c r="M954" s="1"/>
    </row>
    <row r="955" spans="13:13">
      <c r="M955" s="1"/>
    </row>
    <row r="956" spans="13:13">
      <c r="M956" s="1"/>
    </row>
    <row r="957" spans="13:13">
      <c r="M957" s="1"/>
    </row>
    <row r="958" spans="13:13">
      <c r="M958" s="1"/>
    </row>
    <row r="959" spans="13:13">
      <c r="M959" s="1"/>
    </row>
    <row r="960" spans="13:13">
      <c r="M960" s="1"/>
    </row>
    <row r="961" spans="13:13">
      <c r="M961" s="1"/>
    </row>
    <row r="962" spans="13:13">
      <c r="M962" s="1"/>
    </row>
    <row r="963" spans="13:13">
      <c r="M963" s="1"/>
    </row>
    <row r="964" spans="13:13">
      <c r="M964" s="1"/>
    </row>
    <row r="965" spans="13:13">
      <c r="M965" s="1"/>
    </row>
    <row r="966" spans="13:13">
      <c r="M966" s="1"/>
    </row>
    <row r="967" spans="13:13">
      <c r="M967" s="1"/>
    </row>
    <row r="968" spans="13:13">
      <c r="M968" s="1"/>
    </row>
    <row r="969" spans="13:13">
      <c r="M969" s="1"/>
    </row>
    <row r="970" spans="13:13">
      <c r="M970" s="1"/>
    </row>
    <row r="971" spans="13:13">
      <c r="M971" s="1"/>
    </row>
    <row r="972" spans="13:13">
      <c r="M972" s="1"/>
    </row>
    <row r="973" spans="13:13">
      <c r="M973" s="1"/>
    </row>
    <row r="974" spans="13:13">
      <c r="M974" s="1"/>
    </row>
    <row r="975" spans="13:13">
      <c r="M975" s="1"/>
    </row>
    <row r="976" spans="13:13">
      <c r="M976" s="1"/>
    </row>
    <row r="977" spans="13:13">
      <c r="M977" s="1"/>
    </row>
    <row r="978" spans="13:13">
      <c r="M978" s="1"/>
    </row>
    <row r="979" spans="13:13">
      <c r="M979" s="1"/>
    </row>
    <row r="980" spans="13:13">
      <c r="M980" s="1"/>
    </row>
    <row r="981" spans="13:13">
      <c r="M981" s="1"/>
    </row>
    <row r="982" spans="13:13">
      <c r="M982" s="1"/>
    </row>
    <row r="983" spans="13:13">
      <c r="M983" s="1"/>
    </row>
    <row r="984" spans="13:13">
      <c r="M984" s="1"/>
    </row>
    <row r="985" spans="13:13">
      <c r="M985" s="1"/>
    </row>
    <row r="986" spans="13:13">
      <c r="M986" s="1"/>
    </row>
    <row r="987" spans="13:13">
      <c r="M987" s="1"/>
    </row>
    <row r="988" spans="13:13">
      <c r="M988" s="1"/>
    </row>
    <row r="989" spans="13:13">
      <c r="M989" s="1"/>
    </row>
    <row r="990" spans="13:13">
      <c r="M990" s="1"/>
    </row>
    <row r="991" spans="13:13">
      <c r="M991" s="1"/>
    </row>
    <row r="992" spans="13:13">
      <c r="M992" s="1"/>
    </row>
    <row r="993" spans="13:13">
      <c r="M993" s="1"/>
    </row>
    <row r="994" spans="13:13">
      <c r="M994" s="1"/>
    </row>
    <row r="995" spans="13:13">
      <c r="M995" s="1"/>
    </row>
    <row r="996" spans="13:13">
      <c r="M996" s="1"/>
    </row>
    <row r="997" spans="13:13">
      <c r="M997" s="1"/>
    </row>
    <row r="998" spans="13:13">
      <c r="M998" s="1"/>
    </row>
    <row r="999" spans="13:13">
      <c r="M999" s="1"/>
    </row>
    <row r="1000" spans="13:13">
      <c r="M1000" s="1"/>
    </row>
    <row r="1001" spans="13:13">
      <c r="M1001" s="1"/>
    </row>
    <row r="1002" spans="13:13">
      <c r="M1002" s="1"/>
    </row>
    <row r="1003" spans="13:13">
      <c r="M1003" s="1"/>
    </row>
    <row r="1004" spans="13:13">
      <c r="M1004" s="1"/>
    </row>
    <row r="1005" spans="13:13">
      <c r="M1005" s="1"/>
    </row>
    <row r="1006" spans="13:13">
      <c r="M1006" s="1"/>
    </row>
    <row r="1007" spans="13:13">
      <c r="M1007" s="1"/>
    </row>
    <row r="1008" spans="13:13">
      <c r="M1008" s="1"/>
    </row>
    <row r="1009" spans="13:13">
      <c r="M1009" s="1"/>
    </row>
    <row r="1010" spans="13:13">
      <c r="M1010" s="1"/>
    </row>
    <row r="1011" spans="13:13">
      <c r="M1011" s="1"/>
    </row>
    <row r="1012" spans="13:13">
      <c r="M1012" s="1"/>
    </row>
    <row r="1013" spans="13:13">
      <c r="M1013" s="1"/>
    </row>
    <row r="1014" spans="13:13">
      <c r="M1014" s="1"/>
    </row>
    <row r="1015" spans="13:13">
      <c r="M1015" s="1"/>
    </row>
    <row r="1016" spans="13:13">
      <c r="M1016" s="1"/>
    </row>
    <row r="1017" spans="13:13">
      <c r="M1017" s="1"/>
    </row>
    <row r="1018" spans="13:13">
      <c r="M1018" s="1"/>
    </row>
    <row r="1019" spans="13:13">
      <c r="M1019" s="1"/>
    </row>
    <row r="1020" spans="13:13">
      <c r="M1020" s="1"/>
    </row>
    <row r="1021" spans="13:13">
      <c r="M1021" s="1"/>
    </row>
    <row r="1022" spans="13:13">
      <c r="M1022" s="1"/>
    </row>
    <row r="1023" spans="13:13">
      <c r="M1023" s="1"/>
    </row>
    <row r="1024" spans="13:13">
      <c r="M1024" s="1"/>
    </row>
    <row r="1025" spans="13:13">
      <c r="M1025" s="1"/>
    </row>
    <row r="1026" spans="13:13">
      <c r="M1026" s="1"/>
    </row>
    <row r="1027" spans="13:13">
      <c r="M1027" s="1"/>
    </row>
    <row r="1028" spans="13:13">
      <c r="M1028" s="1"/>
    </row>
    <row r="1029" spans="13:13">
      <c r="M1029" s="1"/>
    </row>
    <row r="1030" spans="13:13">
      <c r="M1030" s="1"/>
    </row>
    <row r="1031" spans="13:13">
      <c r="M1031" s="1"/>
    </row>
    <row r="1032" spans="13:13">
      <c r="M1032" s="1"/>
    </row>
    <row r="1033" spans="13:13">
      <c r="M1033" s="1"/>
    </row>
    <row r="1034" spans="13:13">
      <c r="M1034" s="1"/>
    </row>
    <row r="1035" spans="13:13">
      <c r="M1035" s="1"/>
    </row>
    <row r="1036" spans="13:13">
      <c r="M1036" s="1"/>
    </row>
    <row r="1037" spans="13:13">
      <c r="M1037" s="1"/>
    </row>
    <row r="1038" spans="13:13">
      <c r="M1038" s="1"/>
    </row>
    <row r="1039" spans="13:13">
      <c r="M1039" s="1"/>
    </row>
    <row r="1040" spans="13:13">
      <c r="M1040" s="1"/>
    </row>
    <row r="1041" spans="13:13">
      <c r="M1041" s="1"/>
    </row>
    <row r="1042" spans="13:13">
      <c r="M1042" s="1"/>
    </row>
    <row r="1043" spans="13:13">
      <c r="M1043" s="1"/>
    </row>
    <row r="1044" spans="13:13">
      <c r="M1044" s="1"/>
    </row>
    <row r="1045" spans="13:13">
      <c r="M1045" s="1"/>
    </row>
    <row r="1046" spans="13:13">
      <c r="M1046" s="1"/>
    </row>
    <row r="1047" spans="13:13">
      <c r="M1047" s="1"/>
    </row>
    <row r="1048" spans="13:13">
      <c r="M1048" s="1"/>
    </row>
    <row r="1049" spans="13:13">
      <c r="M1049" s="1"/>
    </row>
    <row r="1050" spans="13:13">
      <c r="M1050" s="1"/>
    </row>
    <row r="1051" spans="13:13">
      <c r="M1051" s="1"/>
    </row>
    <row r="1052" spans="13:13">
      <c r="M1052" s="1"/>
    </row>
    <row r="1053" spans="13:13">
      <c r="M1053" s="1"/>
    </row>
    <row r="1054" spans="13:13">
      <c r="M1054" s="1"/>
    </row>
    <row r="1055" spans="13:13">
      <c r="M1055" s="1"/>
    </row>
    <row r="1056" spans="13:13">
      <c r="M1056" s="1"/>
    </row>
    <row r="1057" spans="13:13">
      <c r="M1057" s="1"/>
    </row>
    <row r="1058" spans="13:13">
      <c r="M1058" s="1"/>
    </row>
    <row r="1059" spans="13:13">
      <c r="M1059" s="1"/>
    </row>
    <row r="1060" spans="13:13">
      <c r="M1060" s="1"/>
    </row>
    <row r="1061" spans="13:13">
      <c r="M1061" s="1"/>
    </row>
    <row r="1062" spans="13:13">
      <c r="M1062" s="1"/>
    </row>
    <row r="1063" spans="13:13">
      <c r="M1063" s="1"/>
    </row>
    <row r="1064" spans="13:13">
      <c r="M1064" s="1"/>
    </row>
    <row r="1065" spans="13:13">
      <c r="M1065" s="1"/>
    </row>
    <row r="1066" spans="13:13">
      <c r="M1066" s="1"/>
    </row>
    <row r="1067" spans="13:13">
      <c r="M1067" s="1"/>
    </row>
    <row r="1068" spans="13:13">
      <c r="M1068" s="1"/>
    </row>
    <row r="1069" spans="13:13">
      <c r="M1069" s="1"/>
    </row>
    <row r="1070" spans="13:13">
      <c r="M1070" s="1"/>
    </row>
    <row r="1071" spans="13:13">
      <c r="M1071" s="1"/>
    </row>
    <row r="1072" spans="13:13">
      <c r="M1072" s="1"/>
    </row>
    <row r="1073" spans="13:13">
      <c r="M1073" s="1"/>
    </row>
    <row r="1074" spans="13:13">
      <c r="M1074" s="1"/>
    </row>
    <row r="1075" spans="13:13">
      <c r="M1075" s="1"/>
    </row>
    <row r="1076" spans="13:13">
      <c r="M1076" s="1"/>
    </row>
    <row r="1077" spans="13:13">
      <c r="M1077" s="1"/>
    </row>
    <row r="1078" spans="13:13">
      <c r="M1078" s="1"/>
    </row>
    <row r="1079" spans="13:13">
      <c r="M1079" s="1"/>
    </row>
    <row r="1080" spans="13:13">
      <c r="M1080" s="1"/>
    </row>
    <row r="1081" spans="13:13">
      <c r="M1081" s="1"/>
    </row>
    <row r="1082" spans="13:13">
      <c r="M1082" s="1"/>
    </row>
    <row r="1083" spans="13:13">
      <c r="M1083" s="1"/>
    </row>
    <row r="1084" spans="13:13">
      <c r="M1084" s="1"/>
    </row>
    <row r="1085" spans="13:13">
      <c r="M1085" s="1"/>
    </row>
    <row r="1086" spans="13:13">
      <c r="M1086" s="1"/>
    </row>
    <row r="1087" spans="13:13">
      <c r="M1087" s="1"/>
    </row>
    <row r="1088" spans="13:13">
      <c r="M1088" s="1"/>
    </row>
    <row r="1089" spans="13:13">
      <c r="M1089" s="1"/>
    </row>
    <row r="1090" spans="13:13">
      <c r="M1090" s="1"/>
    </row>
    <row r="1091" spans="13:13">
      <c r="M1091" s="1"/>
    </row>
    <row r="1092" spans="13:13">
      <c r="M1092" s="1"/>
    </row>
    <row r="1093" spans="13:13">
      <c r="M1093" s="1"/>
    </row>
    <row r="1094" spans="13:13">
      <c r="M1094" s="1"/>
    </row>
    <row r="1095" spans="13:13">
      <c r="M1095" s="1"/>
    </row>
    <row r="1096" spans="13:13">
      <c r="M1096" s="1"/>
    </row>
    <row r="1097" spans="13:13">
      <c r="M1097" s="1"/>
    </row>
    <row r="1098" spans="13:13">
      <c r="M1098" s="1"/>
    </row>
    <row r="1099" spans="13:13">
      <c r="M1099" s="1"/>
    </row>
    <row r="1100" spans="13:13">
      <c r="M1100" s="1"/>
    </row>
    <row r="1101" spans="13:13">
      <c r="M1101" s="1"/>
    </row>
    <row r="1102" spans="13:13">
      <c r="M1102" s="1"/>
    </row>
    <row r="1103" spans="13:13">
      <c r="M1103" s="1"/>
    </row>
    <row r="1104" spans="13:13">
      <c r="M1104" s="1"/>
    </row>
    <row r="1105" spans="13:13">
      <c r="M1105" s="1"/>
    </row>
    <row r="1106" spans="13:13">
      <c r="M1106" s="1"/>
    </row>
    <row r="1107" spans="13:13">
      <c r="M1107" s="1"/>
    </row>
    <row r="1108" spans="13:13">
      <c r="M1108" s="1"/>
    </row>
    <row r="1109" spans="13:13">
      <c r="M1109" s="1"/>
    </row>
    <row r="1110" spans="13:13">
      <c r="M1110" s="1"/>
    </row>
    <row r="1111" spans="13:13">
      <c r="M1111" s="1"/>
    </row>
    <row r="1112" spans="13:13">
      <c r="M1112" s="1"/>
    </row>
    <row r="1113" spans="13:13">
      <c r="M1113" s="1"/>
    </row>
    <row r="1114" spans="13:13">
      <c r="M1114" s="1"/>
    </row>
    <row r="1115" spans="13:13">
      <c r="M1115" s="1"/>
    </row>
    <row r="1116" spans="13:13">
      <c r="M1116" s="1"/>
    </row>
    <row r="1117" spans="13:13">
      <c r="M1117" s="1"/>
    </row>
    <row r="1118" spans="13:13">
      <c r="M1118" s="1"/>
    </row>
    <row r="1119" spans="13:13">
      <c r="M1119" s="1"/>
    </row>
    <row r="1120" spans="13:13">
      <c r="M1120" s="1"/>
    </row>
    <row r="1121" spans="13:13">
      <c r="M1121" s="1"/>
    </row>
    <row r="1122" spans="13:13">
      <c r="M1122" s="1"/>
    </row>
    <row r="1123" spans="13:13">
      <c r="M1123" s="1"/>
    </row>
    <row r="1124" spans="13:13">
      <c r="M1124" s="1"/>
    </row>
    <row r="1125" spans="13:13">
      <c r="M1125" s="1"/>
    </row>
    <row r="1126" spans="13:13">
      <c r="M1126" s="1"/>
    </row>
    <row r="1127" spans="13:13">
      <c r="M1127" s="1"/>
    </row>
    <row r="1128" spans="13:13">
      <c r="M1128" s="1"/>
    </row>
    <row r="1129" spans="13:13">
      <c r="M1129" s="1"/>
    </row>
    <row r="1130" spans="13:13">
      <c r="M1130" s="1"/>
    </row>
    <row r="1131" spans="13:13">
      <c r="M1131" s="1"/>
    </row>
    <row r="1132" spans="13:13">
      <c r="M1132" s="1"/>
    </row>
    <row r="1133" spans="13:13">
      <c r="M1133" s="1"/>
    </row>
    <row r="1134" spans="13:13">
      <c r="M1134" s="1"/>
    </row>
    <row r="1135" spans="13:13">
      <c r="M1135" s="1"/>
    </row>
    <row r="1136" spans="13:13">
      <c r="M1136" s="1"/>
    </row>
    <row r="1137" spans="13:13">
      <c r="M1137" s="1"/>
    </row>
    <row r="1138" spans="13:13">
      <c r="M1138" s="1"/>
    </row>
    <row r="1139" spans="13:13">
      <c r="M1139" s="1"/>
    </row>
    <row r="1140" spans="13:13">
      <c r="M1140" s="1"/>
    </row>
    <row r="1141" spans="13:13">
      <c r="M1141" s="1"/>
    </row>
    <row r="1142" spans="13:13">
      <c r="M1142" s="1"/>
    </row>
    <row r="1143" spans="13:13">
      <c r="M1143" s="1"/>
    </row>
    <row r="1144" spans="13:13">
      <c r="M1144" s="1"/>
    </row>
    <row r="1145" spans="13:13">
      <c r="M1145" s="1"/>
    </row>
    <row r="1146" spans="13:13">
      <c r="M1146" s="1"/>
    </row>
    <row r="1147" spans="13:13">
      <c r="M1147" s="1"/>
    </row>
    <row r="1148" spans="13:13">
      <c r="M1148" s="1"/>
    </row>
    <row r="1149" spans="13:13">
      <c r="M1149" s="1"/>
    </row>
    <row r="1150" spans="13:13">
      <c r="M1150" s="1"/>
    </row>
    <row r="1151" spans="13:13">
      <c r="M1151" s="1"/>
    </row>
    <row r="1152" spans="13:13">
      <c r="M1152" s="1"/>
    </row>
    <row r="1153" spans="13:13">
      <c r="M1153" s="1"/>
    </row>
    <row r="1154" spans="13:13">
      <c r="M1154" s="1"/>
    </row>
    <row r="1155" spans="13:13">
      <c r="M1155" s="1"/>
    </row>
    <row r="1156" spans="13:13">
      <c r="M1156" s="1"/>
    </row>
    <row r="1157" spans="13:13">
      <c r="M1157" s="1"/>
    </row>
    <row r="1158" spans="13:13">
      <c r="M1158" s="1"/>
    </row>
    <row r="1159" spans="13:13">
      <c r="M1159" s="1"/>
    </row>
    <row r="1160" spans="13:13">
      <c r="M1160" s="1"/>
    </row>
    <row r="1161" spans="13:13">
      <c r="M1161" s="1"/>
    </row>
    <row r="1162" spans="13:13">
      <c r="M1162" s="1"/>
    </row>
    <row r="1163" spans="13:13">
      <c r="M1163" s="1"/>
    </row>
    <row r="1164" spans="13:13">
      <c r="M1164" s="1"/>
    </row>
    <row r="1165" spans="13:13">
      <c r="M1165" s="1"/>
    </row>
    <row r="1166" spans="13:13">
      <c r="M1166" s="1"/>
    </row>
    <row r="1167" spans="13:13">
      <c r="M1167" s="1"/>
    </row>
    <row r="1168" spans="13:13">
      <c r="M1168" s="1"/>
    </row>
    <row r="1169" spans="13:13">
      <c r="M1169" s="1"/>
    </row>
    <row r="1170" spans="13:13">
      <c r="M1170" s="1"/>
    </row>
    <row r="1171" spans="13:13">
      <c r="M1171" s="1"/>
    </row>
    <row r="1172" spans="13:13">
      <c r="M1172" s="1"/>
    </row>
    <row r="1173" spans="13:13">
      <c r="M1173" s="1"/>
    </row>
    <row r="1174" spans="13:13">
      <c r="M1174" s="1"/>
    </row>
    <row r="1175" spans="13:13">
      <c r="M1175" s="1"/>
    </row>
    <row r="1176" spans="13:13">
      <c r="M1176" s="1"/>
    </row>
    <row r="1177" spans="13:13">
      <c r="M1177" s="1"/>
    </row>
    <row r="1178" spans="13:13">
      <c r="M1178" s="1"/>
    </row>
    <row r="1179" spans="13:13">
      <c r="M1179" s="1"/>
    </row>
    <row r="1180" spans="13:13">
      <c r="M1180" s="1"/>
    </row>
    <row r="1181" spans="13:13">
      <c r="M1181" s="1"/>
    </row>
    <row r="1182" spans="13:13">
      <c r="M1182" s="1"/>
    </row>
    <row r="1183" spans="13:13">
      <c r="M1183" s="1"/>
    </row>
    <row r="1184" spans="13:13">
      <c r="M1184" s="1"/>
    </row>
    <row r="1185" spans="13:13">
      <c r="M1185" s="1"/>
    </row>
    <row r="1186" spans="13:13">
      <c r="M1186" s="1"/>
    </row>
    <row r="1187" spans="13:13">
      <c r="M1187" s="1"/>
    </row>
    <row r="1188" spans="13:13">
      <c r="M1188" s="1"/>
    </row>
    <row r="1189" spans="13:13">
      <c r="M1189" s="1"/>
    </row>
    <row r="1190" spans="13:13">
      <c r="M1190" s="1"/>
    </row>
    <row r="1191" spans="13:13">
      <c r="M1191" s="1"/>
    </row>
    <row r="1192" spans="13:13">
      <c r="M1192" s="1"/>
    </row>
    <row r="1193" spans="13:13">
      <c r="M1193" s="1"/>
    </row>
    <row r="1194" spans="13:13">
      <c r="M1194" s="1"/>
    </row>
    <row r="1195" spans="13:13">
      <c r="M1195" s="1"/>
    </row>
    <row r="1196" spans="13:13">
      <c r="M1196" s="1"/>
    </row>
    <row r="1197" spans="13:13">
      <c r="M1197" s="1"/>
    </row>
    <row r="1198" spans="13:13">
      <c r="M1198" s="1"/>
    </row>
    <row r="1199" spans="13:13">
      <c r="M1199" s="1"/>
    </row>
    <row r="1200" spans="13:13">
      <c r="M1200" s="1"/>
    </row>
    <row r="1201" spans="13:13">
      <c r="M1201" s="1"/>
    </row>
    <row r="1202" spans="13:13">
      <c r="M1202" s="1"/>
    </row>
    <row r="1203" spans="13:13">
      <c r="M1203" s="1"/>
    </row>
    <row r="1204" spans="13:13">
      <c r="M1204" s="1"/>
    </row>
    <row r="1205" spans="13:13">
      <c r="M1205" s="1"/>
    </row>
    <row r="1206" spans="13:13">
      <c r="M1206" s="1"/>
    </row>
    <row r="1207" spans="13:13">
      <c r="M1207" s="1"/>
    </row>
    <row r="1208" spans="13:13">
      <c r="M1208" s="1"/>
    </row>
    <row r="1209" spans="13:13">
      <c r="M1209" s="1"/>
    </row>
    <row r="1210" spans="13:13">
      <c r="M1210" s="1"/>
    </row>
    <row r="1211" spans="13:13">
      <c r="M1211" s="1"/>
    </row>
    <row r="1212" spans="13:13">
      <c r="M1212" s="1"/>
    </row>
    <row r="1213" spans="13:13">
      <c r="M1213" s="1"/>
    </row>
    <row r="1214" spans="13:13">
      <c r="M1214" s="1"/>
    </row>
    <row r="1215" spans="13:13">
      <c r="M1215" s="1"/>
    </row>
    <row r="1216" spans="13:13">
      <c r="M1216" s="1"/>
    </row>
    <row r="1217" spans="13:13">
      <c r="M1217" s="1"/>
    </row>
    <row r="1218" spans="13:13">
      <c r="M1218" s="1"/>
    </row>
    <row r="1219" spans="13:13">
      <c r="M1219" s="1"/>
    </row>
    <row r="1220" spans="13:13">
      <c r="M1220" s="1"/>
    </row>
    <row r="1221" spans="13:13">
      <c r="M1221" s="1"/>
    </row>
    <row r="1222" spans="13:13">
      <c r="M1222" s="1"/>
    </row>
    <row r="1223" spans="13:13">
      <c r="M1223" s="1"/>
    </row>
    <row r="1224" spans="13:13">
      <c r="M1224" s="1"/>
    </row>
    <row r="1225" spans="13:13">
      <c r="M1225" s="1"/>
    </row>
    <row r="1226" spans="13:13">
      <c r="M1226" s="1"/>
    </row>
    <row r="1227" spans="13:13">
      <c r="M1227" s="1"/>
    </row>
    <row r="1228" spans="13:13">
      <c r="M1228" s="1"/>
    </row>
    <row r="1229" spans="13:13">
      <c r="M1229" s="1"/>
    </row>
    <row r="1230" spans="13:13">
      <c r="M1230" s="1"/>
    </row>
    <row r="1231" spans="13:13">
      <c r="M1231" s="1"/>
    </row>
    <row r="1232" spans="13:13">
      <c r="M1232" s="1"/>
    </row>
    <row r="1233" spans="13:13">
      <c r="M1233" s="1"/>
    </row>
    <row r="1234" spans="13:13">
      <c r="M1234" s="1"/>
    </row>
    <row r="1235" spans="13:13">
      <c r="M1235" s="1"/>
    </row>
    <row r="1236" spans="13:13">
      <c r="M1236" s="1"/>
    </row>
    <row r="1237" spans="13:13">
      <c r="M1237" s="1"/>
    </row>
    <row r="1238" spans="13:13">
      <c r="M1238" s="1"/>
    </row>
    <row r="1239" spans="13:13">
      <c r="M1239" s="1"/>
    </row>
    <row r="1240" spans="13:13">
      <c r="M1240" s="1"/>
    </row>
    <row r="1241" spans="13:13">
      <c r="M1241" s="1"/>
    </row>
    <row r="1242" spans="13:13">
      <c r="M1242" s="1"/>
    </row>
    <row r="1243" spans="13:13">
      <c r="M1243" s="1"/>
    </row>
    <row r="1244" spans="13:13">
      <c r="M1244" s="1"/>
    </row>
    <row r="1245" spans="13:13">
      <c r="M1245" s="1"/>
    </row>
    <row r="1246" spans="13:13">
      <c r="M1246" s="1"/>
    </row>
    <row r="1247" spans="13:13">
      <c r="M1247" s="1"/>
    </row>
    <row r="1248" spans="13:13">
      <c r="M1248" s="1"/>
    </row>
    <row r="1249" spans="13:13">
      <c r="M1249" s="1"/>
    </row>
    <row r="1250" spans="13:13">
      <c r="M1250" s="1"/>
    </row>
    <row r="1251" spans="13:13">
      <c r="M1251" s="1"/>
    </row>
    <row r="1252" spans="13:13">
      <c r="M1252" s="1"/>
    </row>
    <row r="1253" spans="13:13">
      <c r="M1253" s="1"/>
    </row>
    <row r="1254" spans="13:13">
      <c r="M1254" s="1"/>
    </row>
    <row r="1255" spans="13:13">
      <c r="M1255" s="1"/>
    </row>
    <row r="1256" spans="13:13">
      <c r="M1256" s="1"/>
    </row>
    <row r="1257" spans="13:13">
      <c r="M1257" s="1"/>
    </row>
    <row r="1258" spans="13:13">
      <c r="M1258" s="1"/>
    </row>
    <row r="1259" spans="13:13">
      <c r="M1259" s="1"/>
    </row>
    <row r="1260" spans="13:13">
      <c r="M1260" s="1"/>
    </row>
    <row r="1261" spans="13:13">
      <c r="M1261" s="1"/>
    </row>
    <row r="1262" spans="13:13">
      <c r="M1262" s="1"/>
    </row>
    <row r="1263" spans="13:13">
      <c r="M1263" s="1"/>
    </row>
    <row r="1264" spans="13:13">
      <c r="M1264" s="1"/>
    </row>
    <row r="1265" spans="13:13">
      <c r="M1265" s="1"/>
    </row>
    <row r="1266" spans="13:13">
      <c r="M1266" s="1"/>
    </row>
    <row r="1267" spans="13:13">
      <c r="M1267" s="1"/>
    </row>
    <row r="1268" spans="13:13">
      <c r="M1268" s="1"/>
    </row>
    <row r="1269" spans="13:13">
      <c r="M1269" s="1"/>
    </row>
    <row r="1270" spans="13:13">
      <c r="M1270" s="1"/>
    </row>
    <row r="1271" spans="13:13">
      <c r="M1271" s="1"/>
    </row>
    <row r="1272" spans="13:13">
      <c r="M1272" s="1"/>
    </row>
    <row r="1273" spans="13:13">
      <c r="M1273" s="1"/>
    </row>
    <row r="1274" spans="13:13">
      <c r="M1274" s="1"/>
    </row>
    <row r="1275" spans="13:13">
      <c r="M1275" s="1"/>
    </row>
    <row r="1276" spans="13:13">
      <c r="M1276" s="1"/>
    </row>
    <row r="1277" spans="13:13">
      <c r="M1277" s="1"/>
    </row>
    <row r="1278" spans="13:13">
      <c r="M1278" s="1"/>
    </row>
    <row r="1279" spans="13:13">
      <c r="M1279" s="1"/>
    </row>
    <row r="1280" spans="13:13">
      <c r="M1280" s="1"/>
    </row>
    <row r="1281" spans="13:13">
      <c r="M1281" s="1"/>
    </row>
    <row r="1282" spans="13:13">
      <c r="M1282" s="1"/>
    </row>
    <row r="1283" spans="13:13">
      <c r="M1283" s="1"/>
    </row>
    <row r="1284" spans="13:13">
      <c r="M1284" s="1"/>
    </row>
    <row r="1285" spans="13:13">
      <c r="M1285" s="1"/>
    </row>
    <row r="1286" spans="13:13">
      <c r="M1286" s="1"/>
    </row>
    <row r="1287" spans="13:13">
      <c r="M1287" s="1"/>
    </row>
    <row r="1288" spans="13:13">
      <c r="M1288" s="1"/>
    </row>
    <row r="1289" spans="13:13">
      <c r="M1289" s="1"/>
    </row>
    <row r="1290" spans="13:13">
      <c r="M1290" s="1"/>
    </row>
    <row r="1291" spans="13:13">
      <c r="M1291" s="1"/>
    </row>
    <row r="1292" spans="13:13">
      <c r="M1292" s="1"/>
    </row>
    <row r="1293" spans="13:13">
      <c r="M1293" s="1"/>
    </row>
  </sheetData>
  <mergeCells count="32">
    <mergeCell ref="X1:Y1"/>
    <mergeCell ref="X2:Y2"/>
    <mergeCell ref="X3:Y3"/>
    <mergeCell ref="A85:A141"/>
    <mergeCell ref="A8:A64"/>
    <mergeCell ref="B80:D80"/>
    <mergeCell ref="B8:B19"/>
    <mergeCell ref="B20:B31"/>
    <mergeCell ref="B32:B43"/>
    <mergeCell ref="B44:B55"/>
    <mergeCell ref="B56:B67"/>
    <mergeCell ref="B133:B144"/>
    <mergeCell ref="B85:B96"/>
    <mergeCell ref="B97:B108"/>
    <mergeCell ref="B1:W1"/>
    <mergeCell ref="B2:W2"/>
    <mergeCell ref="B233:D233"/>
    <mergeCell ref="B209:B220"/>
    <mergeCell ref="B221:B232"/>
    <mergeCell ref="B3:W3"/>
    <mergeCell ref="C5:D5"/>
    <mergeCell ref="C83:D83"/>
    <mergeCell ref="B109:B120"/>
    <mergeCell ref="B121:B132"/>
    <mergeCell ref="B68:B79"/>
    <mergeCell ref="B145:B156"/>
    <mergeCell ref="B161:B172"/>
    <mergeCell ref="B173:B184"/>
    <mergeCell ref="B185:B196"/>
    <mergeCell ref="B197:B208"/>
    <mergeCell ref="B157:D157"/>
    <mergeCell ref="C159:D159"/>
  </mergeCells>
  <phoneticPr fontId="6" type="noConversion"/>
  <printOptions horizontalCentered="1" verticalCentered="1"/>
  <pageMargins left="0.25" right="0.25" top="0.75" bottom="0.75" header="0.3" footer="0.3"/>
  <pageSetup paperSize="9" scale="1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29ED-6C83-054E-B529-2B9D0AC89C0B}">
  <dimension ref="A1:F14"/>
  <sheetViews>
    <sheetView topLeftCell="C1" workbookViewId="0">
      <selection activeCell="B3" sqref="B3"/>
    </sheetView>
  </sheetViews>
  <sheetFormatPr defaultColWidth="11" defaultRowHeight="15.95"/>
  <cols>
    <col min="1" max="1" width="12.5" customWidth="1"/>
    <col min="2" max="2" width="25.875" customWidth="1"/>
    <col min="3" max="3" width="23.125" bestFit="1" customWidth="1"/>
    <col min="4" max="4" width="27.125" customWidth="1"/>
    <col min="5" max="5" width="37.875" customWidth="1"/>
    <col min="6" max="6" width="25.875" customWidth="1"/>
  </cols>
  <sheetData>
    <row r="1" spans="1:6" ht="33.950000000000003">
      <c r="A1" s="352" t="s">
        <v>94</v>
      </c>
      <c r="B1" s="352"/>
      <c r="C1" s="352"/>
      <c r="D1" s="352"/>
      <c r="E1" s="352"/>
      <c r="F1" s="353"/>
    </row>
    <row r="2" spans="1:6" ht="15.75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260" t="s">
        <v>693</v>
      </c>
      <c r="B3" s="314" t="str">
        <f>DERS_PLANI!Z161</f>
        <v>PSY 102</v>
      </c>
      <c r="C3" s="314">
        <f>DERS_PLANI!Z173</f>
        <v>0</v>
      </c>
      <c r="D3" s="314" t="str">
        <f>DERS_PLANI!Z185</f>
        <v>YBS 122 İŞLETME MATEMATİĞİ II 
DR. ADİL AKKUŞ</v>
      </c>
      <c r="E3" s="66">
        <f>DERS_PLANI!Z197</f>
        <v>0</v>
      </c>
      <c r="F3" s="66">
        <f>DERS_PLANI!Y209</f>
        <v>0</v>
      </c>
    </row>
    <row r="4" spans="1:6" ht="24" customHeight="1">
      <c r="A4" s="260" t="s">
        <v>694</v>
      </c>
      <c r="B4" s="314" t="str">
        <f>DERS_PLANI!Z162</f>
        <v>PSY 102</v>
      </c>
      <c r="C4" s="314">
        <f>DERS_PLANI!Z174</f>
        <v>0</v>
      </c>
      <c r="D4" s="314" t="str">
        <f>DERS_PLANI!Z186</f>
        <v>YBS 122 İŞLETME MATEMATİĞİ II 
DR. ADİL AKKUŞ</v>
      </c>
      <c r="E4" s="66">
        <f>DERS_PLANI!Z198</f>
        <v>0</v>
      </c>
      <c r="F4" s="66" t="str">
        <f>DERS_PLANI!Y210</f>
        <v>CENG 332 (Lab) - Sec 1</v>
      </c>
    </row>
    <row r="5" spans="1:6" ht="24" customHeight="1">
      <c r="A5" s="260" t="s">
        <v>695</v>
      </c>
      <c r="B5" s="314" t="str">
        <f>DERS_PLANI!Z163</f>
        <v>PSY 102</v>
      </c>
      <c r="C5" s="314" t="str">
        <f>DERS_PLANI!Z175</f>
        <v>Telafi Sınavı</v>
      </c>
      <c r="D5" s="314" t="str">
        <f>DERS_PLANI!Z187</f>
        <v>YBS 122 İŞLETME MATEMATİĞİ II 
DR. ADİL AKKUŞ</v>
      </c>
      <c r="E5" s="66">
        <f>DERS_PLANI!Z199</f>
        <v>0</v>
      </c>
      <c r="F5" s="66" t="str">
        <f>DERS_PLANI!Y211</f>
        <v>CENG 332 (Lab) - Sec 1</v>
      </c>
    </row>
    <row r="6" spans="1:6" ht="24" customHeight="1">
      <c r="A6" s="260" t="s">
        <v>696</v>
      </c>
      <c r="B6" s="314" t="str">
        <f>DERS_PLANI!Z164</f>
        <v>PSİ 102</v>
      </c>
      <c r="C6" s="314" t="str">
        <f>DERS_PLANI!Z176</f>
        <v>ETI 104
(Dr. Akbay)</v>
      </c>
      <c r="D6" s="314" t="str">
        <f>DERS_PLANI!Z188</f>
        <v>SURD 106 SÜRDÜRÜLEBİRLİĞE GİRİŞ
DR. NESLİHAN KÜNYE POLAT</v>
      </c>
      <c r="E6" s="66" t="str">
        <f>DERS_PLANI!Z200</f>
        <v>psi 221</v>
      </c>
      <c r="F6" s="66">
        <f>DERS_PLANI!Y212</f>
        <v>0</v>
      </c>
    </row>
    <row r="7" spans="1:6" ht="24" customHeight="1">
      <c r="A7" s="260" t="s">
        <v>697</v>
      </c>
      <c r="B7" s="314" t="str">
        <f>DERS_PLANI!Z165</f>
        <v>PSİ 102</v>
      </c>
      <c r="C7" s="314" t="str">
        <f>DERS_PLANI!Z177</f>
        <v>ETI 104
(Dr. Akbay)</v>
      </c>
      <c r="D7" s="314" t="str">
        <f>DERS_PLANI!Z189</f>
        <v>SURD 106 SÜRDÜRÜLEBİRLİĞE GİRİŞ
DR. NESLİHAN KÜNYE POLAT</v>
      </c>
      <c r="E7" s="66" t="str">
        <f>DERS_PLANI!Z201</f>
        <v>psi 221</v>
      </c>
      <c r="F7" s="66">
        <f>DERS_PLANI!Y213</f>
        <v>0</v>
      </c>
    </row>
    <row r="8" spans="1:6" ht="24" customHeight="1">
      <c r="A8" s="260" t="s">
        <v>698</v>
      </c>
      <c r="B8" s="314" t="str">
        <f>DERS_PLANI!Z166</f>
        <v>PSİ 102</v>
      </c>
      <c r="C8" s="314" t="str">
        <f>DERS_PLANI!Z178</f>
        <v>ETI 104
(Dr. Akbay)</v>
      </c>
      <c r="D8" s="314" t="str">
        <f>DERS_PLANI!Z190</f>
        <v>SURD 106 SÜRDÜRÜLEBİRLİĞE GİRİŞ
DR. NESLİHAN KÜNYE POLAT</v>
      </c>
      <c r="E8" s="66" t="str">
        <f>DERS_PLANI!Z202</f>
        <v>psi 221</v>
      </c>
      <c r="F8" s="66">
        <f>DERS_PLANI!Y214</f>
        <v>0</v>
      </c>
    </row>
    <row r="9" spans="1:6" ht="24" customHeight="1">
      <c r="A9" s="260" t="s">
        <v>699</v>
      </c>
      <c r="B9" s="314">
        <f>DERS_PLANI!Z167</f>
        <v>0</v>
      </c>
      <c r="C9" s="314">
        <f>DERS_PLANI!Z179</f>
        <v>0</v>
      </c>
      <c r="D9" s="314" t="str">
        <f>DERS_PLANI!Z191</f>
        <v>ENG 302-04 PSK-TR</v>
      </c>
      <c r="E9" s="66">
        <f>DERS_PLANI!Z203</f>
        <v>0</v>
      </c>
      <c r="F9" s="66" t="str">
        <f>DERS_PLANI!Y215</f>
        <v>BM 332 (Lab) - Sec 1</v>
      </c>
    </row>
    <row r="10" spans="1:6" ht="24" customHeight="1">
      <c r="A10" s="260" t="s">
        <v>700</v>
      </c>
      <c r="B10" s="314">
        <f>DERS_PLANI!Z168</f>
        <v>0</v>
      </c>
      <c r="C10" s="314">
        <f>DERS_PLANI!Z180</f>
        <v>0</v>
      </c>
      <c r="D10" s="314" t="str">
        <f>DERS_PLANI!Z192</f>
        <v>ENG 302-04 PSK-TR</v>
      </c>
      <c r="E10" s="66">
        <f>DERS_PLANI!Z204</f>
        <v>0</v>
      </c>
      <c r="F10" s="66" t="str">
        <f>DERS_PLANI!Y216</f>
        <v>BM 332 (Lab) - Sec 1</v>
      </c>
    </row>
    <row r="11" spans="1:6" ht="24" customHeight="1">
      <c r="A11" s="260" t="s">
        <v>701</v>
      </c>
      <c r="B11" s="314">
        <f>DERS_PLANI!Z169</f>
        <v>0</v>
      </c>
      <c r="C11" s="314">
        <f>DERS_PLANI!Z181</f>
        <v>0</v>
      </c>
      <c r="D11" s="314">
        <f>DERS_PLANI!Z193</f>
        <v>0</v>
      </c>
      <c r="E11" s="66">
        <f>DERS_PLANI!Z205</f>
        <v>0</v>
      </c>
      <c r="F11" s="66">
        <f>DERS_PLANI!Y217</f>
        <v>0</v>
      </c>
    </row>
    <row r="12" spans="1:6" ht="24" customHeight="1">
      <c r="A12" s="260" t="s">
        <v>702</v>
      </c>
      <c r="B12" s="314">
        <f>DERS_PLANI!Z170</f>
        <v>0</v>
      </c>
      <c r="C12" s="314">
        <f>DERS_PLANI!Z182</f>
        <v>0</v>
      </c>
      <c r="D12" s="314">
        <f>DERS_PLANI!Z194</f>
        <v>0</v>
      </c>
      <c r="E12" s="66">
        <f>DERS_PLANI!Z206</f>
        <v>0</v>
      </c>
      <c r="F12" s="66">
        <f>DERS_PLANI!Y218</f>
        <v>0</v>
      </c>
    </row>
    <row r="13" spans="1:6" ht="24" customHeight="1">
      <c r="A13" s="260" t="s">
        <v>703</v>
      </c>
      <c r="B13" s="314">
        <f>DERS_PLANI!Z171</f>
        <v>0</v>
      </c>
      <c r="C13" s="314">
        <f>DERS_PLANI!Z183</f>
        <v>0</v>
      </c>
      <c r="D13" s="314">
        <f>DERS_PLANI!Z195</f>
        <v>0</v>
      </c>
      <c r="E13" s="66">
        <f>DERS_PLANI!Z207</f>
        <v>0</v>
      </c>
      <c r="F13" s="66">
        <f>DERS_PLANI!Y219</f>
        <v>0</v>
      </c>
    </row>
    <row r="14" spans="1:6" ht="24" customHeight="1">
      <c r="A14" s="260" t="s">
        <v>704</v>
      </c>
      <c r="B14" s="314">
        <f>DERS_PLANI!Z172</f>
        <v>0</v>
      </c>
      <c r="C14" s="314">
        <f>DERS_PLANI!Z184</f>
        <v>0</v>
      </c>
      <c r="D14" s="314">
        <f>DERS_PLANI!Z196</f>
        <v>0</v>
      </c>
      <c r="E14" s="66">
        <f>DERS_PLANI!Z208</f>
        <v>0</v>
      </c>
      <c r="F14" s="66">
        <f>DERS_PLANI!Y220</f>
        <v>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423-028E-C940-925D-5900CBC550A4}">
  <dimension ref="A1:F14"/>
  <sheetViews>
    <sheetView workbookViewId="0">
      <selection activeCell="D5" sqref="D5"/>
    </sheetView>
  </sheetViews>
  <sheetFormatPr defaultColWidth="11" defaultRowHeight="15.95"/>
  <cols>
    <col min="1" max="1" width="12.5" customWidth="1"/>
    <col min="2" max="4" width="25.875" customWidth="1"/>
    <col min="5" max="5" width="26.375" customWidth="1"/>
    <col min="6" max="6" width="25.875" customWidth="1"/>
  </cols>
  <sheetData>
    <row r="1" spans="1:6" ht="33.950000000000003">
      <c r="A1" s="354" t="s">
        <v>96</v>
      </c>
      <c r="B1" s="354"/>
      <c r="C1" s="354"/>
      <c r="D1" s="354"/>
      <c r="E1" s="354"/>
      <c r="F1" s="355"/>
    </row>
    <row r="2" spans="1:6" ht="15.75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66">
        <f>DERS_PLANI!AA161</f>
        <v>0</v>
      </c>
      <c r="C3" s="66">
        <f>DERS_PLANI!AA173</f>
        <v>0</v>
      </c>
      <c r="D3" s="66">
        <f>DERS_PLANI!AA185</f>
        <v>0</v>
      </c>
      <c r="E3" s="66">
        <f>DERS_PLANI!AA197</f>
        <v>0</v>
      </c>
      <c r="F3" s="66">
        <f>DERS_PLANI!AA209</f>
        <v>0</v>
      </c>
    </row>
    <row r="4" spans="1:6" ht="24" customHeight="1">
      <c r="A4" s="190" t="s">
        <v>694</v>
      </c>
      <c r="B4" s="66">
        <f>DERS_PLANI!AA162</f>
        <v>0</v>
      </c>
      <c r="C4" s="66">
        <f>DERS_PLANI!AA174</f>
        <v>0</v>
      </c>
      <c r="D4" s="66">
        <f>DERS_PLANI!AA186</f>
        <v>0</v>
      </c>
      <c r="E4" s="66">
        <f>DERS_PLANI!AA198</f>
        <v>0</v>
      </c>
      <c r="F4" s="66">
        <f>DERS_PLANI!AA210</f>
        <v>0</v>
      </c>
    </row>
    <row r="5" spans="1:6" ht="24" customHeight="1">
      <c r="A5" s="190" t="s">
        <v>695</v>
      </c>
      <c r="B5" s="66">
        <f>DERS_PLANI!AA163</f>
        <v>0</v>
      </c>
      <c r="C5" s="66">
        <f>DERS_PLANI!AA175</f>
        <v>0</v>
      </c>
      <c r="D5" s="66">
        <f>DERS_PLANI!AA187</f>
        <v>0</v>
      </c>
      <c r="E5" s="66">
        <f>DERS_PLANI!AA199</f>
        <v>0</v>
      </c>
      <c r="F5" s="66">
        <f>DERS_PLANI!AA211</f>
        <v>0</v>
      </c>
    </row>
    <row r="6" spans="1:6" ht="24" customHeight="1">
      <c r="A6" s="190" t="s">
        <v>696</v>
      </c>
      <c r="B6" s="66">
        <f>DERS_PLANI!AA164</f>
        <v>0</v>
      </c>
      <c r="C6" s="66">
        <f>DERS_PLANI!AA176</f>
        <v>0</v>
      </c>
      <c r="D6" s="66">
        <f>DERS_PLANI!AA188</f>
        <v>0</v>
      </c>
      <c r="E6" s="66">
        <f>DERS_PLANI!AA200</f>
        <v>0</v>
      </c>
      <c r="F6" s="66">
        <f>DERS_PLANI!AA212</f>
        <v>0</v>
      </c>
    </row>
    <row r="7" spans="1:6" ht="24" customHeight="1">
      <c r="A7" s="190" t="s">
        <v>697</v>
      </c>
      <c r="B7" s="66">
        <f>DERS_PLANI!AA165</f>
        <v>0</v>
      </c>
      <c r="C7" s="66">
        <f>DERS_PLANI!AA177</f>
        <v>0</v>
      </c>
      <c r="D7" s="66">
        <f>DERS_PLANI!AA189</f>
        <v>0</v>
      </c>
      <c r="E7" s="66">
        <f>DERS_PLANI!AA201</f>
        <v>0</v>
      </c>
      <c r="F7" s="66">
        <f>DERS_PLANI!AA213</f>
        <v>0</v>
      </c>
    </row>
    <row r="8" spans="1:6" ht="24" customHeight="1">
      <c r="A8" s="190" t="s">
        <v>698</v>
      </c>
      <c r="B8" s="66">
        <f>DERS_PLANI!AA166</f>
        <v>0</v>
      </c>
      <c r="C8" s="66">
        <f>DERS_PLANI!AA178</f>
        <v>0</v>
      </c>
      <c r="D8" s="66">
        <f>DERS_PLANI!AA190</f>
        <v>0</v>
      </c>
      <c r="E8" s="66">
        <f>DERS_PLANI!AA202</f>
        <v>0</v>
      </c>
      <c r="F8" s="66">
        <f>DERS_PLANI!AA214</f>
        <v>0</v>
      </c>
    </row>
    <row r="9" spans="1:6" ht="24" customHeight="1">
      <c r="A9" s="190" t="s">
        <v>699</v>
      </c>
      <c r="B9" s="66">
        <f>DERS_PLANI!AA167</f>
        <v>0</v>
      </c>
      <c r="C9" s="66">
        <f>DERS_PLANI!AA179</f>
        <v>0</v>
      </c>
      <c r="D9" s="66">
        <f>DERS_PLANI!AA191</f>
        <v>0</v>
      </c>
      <c r="E9" s="66">
        <f>DERS_PLANI!AA203</f>
        <v>0</v>
      </c>
      <c r="F9" s="66">
        <f>DERS_PLANI!AA215</f>
        <v>0</v>
      </c>
    </row>
    <row r="10" spans="1:6" ht="24" customHeight="1">
      <c r="A10" s="190" t="s">
        <v>700</v>
      </c>
      <c r="B10" s="66">
        <f>DERS_PLANI!AA168</f>
        <v>0</v>
      </c>
      <c r="C10" s="66">
        <f>DERS_PLANI!AA180</f>
        <v>0</v>
      </c>
      <c r="D10" s="66">
        <f>DERS_PLANI!AA192</f>
        <v>0</v>
      </c>
      <c r="E10" s="66">
        <f>DERS_PLANI!AA204</f>
        <v>0</v>
      </c>
      <c r="F10" s="66">
        <f>DERS_PLANI!AA216</f>
        <v>0</v>
      </c>
    </row>
    <row r="11" spans="1:6" ht="24" customHeight="1">
      <c r="A11" s="190" t="s">
        <v>701</v>
      </c>
      <c r="B11" s="66">
        <f>DERS_PLANI!AA169</f>
        <v>0</v>
      </c>
      <c r="C11" s="66">
        <f>DERS_PLANI!AA181</f>
        <v>0</v>
      </c>
      <c r="D11" s="66">
        <f>DERS_PLANI!AA193</f>
        <v>0</v>
      </c>
      <c r="E11" s="66">
        <f>DERS_PLANI!AA205</f>
        <v>0</v>
      </c>
      <c r="F11" s="66">
        <f>DERS_PLANI!AA217</f>
        <v>0</v>
      </c>
    </row>
    <row r="12" spans="1:6" ht="24" customHeight="1">
      <c r="A12" s="190" t="s">
        <v>705</v>
      </c>
      <c r="B12" s="66">
        <f>DERS_PLANI!AA170</f>
        <v>0</v>
      </c>
      <c r="C12" s="66">
        <f>DERS_PLANI!AA182</f>
        <v>0</v>
      </c>
      <c r="D12" s="66">
        <f>DERS_PLANI!AA194</f>
        <v>0</v>
      </c>
      <c r="E12" s="66">
        <f>DERS_PLANI!AA206</f>
        <v>0</v>
      </c>
      <c r="F12" s="66">
        <f>DERS_PLANI!AA218</f>
        <v>0</v>
      </c>
    </row>
    <row r="13" spans="1:6" ht="24" customHeight="1">
      <c r="A13" s="190" t="s">
        <v>703</v>
      </c>
      <c r="B13" s="66">
        <f>DERS_PLANI!AA171</f>
        <v>0</v>
      </c>
      <c r="C13" s="66">
        <f>DERS_PLANI!AA183</f>
        <v>0</v>
      </c>
      <c r="D13" s="66">
        <f>DERS_PLANI!AA195</f>
        <v>0</v>
      </c>
      <c r="E13" s="66">
        <f>DERS_PLANI!AA207</f>
        <v>0</v>
      </c>
      <c r="F13" s="66">
        <f>DERS_PLANI!AA219</f>
        <v>0</v>
      </c>
    </row>
    <row r="14" spans="1:6" ht="24" customHeight="1">
      <c r="A14" s="190" t="s">
        <v>704</v>
      </c>
      <c r="B14" s="66">
        <f>DERS_PLANI!AA172</f>
        <v>0</v>
      </c>
      <c r="C14" s="66">
        <f>DERS_PLANI!AA184</f>
        <v>0</v>
      </c>
      <c r="D14" s="66">
        <f>DERS_PLANI!AA196</f>
        <v>0</v>
      </c>
      <c r="E14" s="66">
        <f>DERS_PLANI!AA208</f>
        <v>0</v>
      </c>
      <c r="F14" s="66">
        <f>DERS_PLANI!AA220</f>
        <v>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2558-827F-9041-8123-45558A9CAC2C}">
  <dimension ref="A1:F14"/>
  <sheetViews>
    <sheetView workbookViewId="0">
      <selection activeCell="E8" sqref="E8"/>
    </sheetView>
  </sheetViews>
  <sheetFormatPr defaultColWidth="11" defaultRowHeight="15.75" customHeight="1"/>
  <cols>
    <col min="1" max="1" width="12.5" customWidth="1"/>
    <col min="2" max="6" width="25.875" customWidth="1"/>
  </cols>
  <sheetData>
    <row r="1" spans="1:6" ht="33.950000000000003">
      <c r="A1" s="191" t="s">
        <v>706</v>
      </c>
      <c r="B1" s="192"/>
      <c r="C1" s="192"/>
      <c r="D1" s="192"/>
      <c r="E1" s="192"/>
      <c r="F1" s="193"/>
    </row>
    <row r="2" spans="1:6" ht="15.75" customHeight="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DERS_PLANI!AB161</f>
        <v>0</v>
      </c>
      <c r="C3" s="131">
        <f>DERS_PLANI!AB173</f>
        <v>0</v>
      </c>
      <c r="D3" s="131">
        <f>DERS_PLANI!AB185</f>
        <v>0</v>
      </c>
      <c r="E3" s="131">
        <f>DERS_PLANI!AB197</f>
        <v>0</v>
      </c>
      <c r="F3" s="131" t="str">
        <f>DERS_PLANI!AB209</f>
        <v>PSY Telafi Sınavları</v>
      </c>
    </row>
    <row r="4" spans="1:6" ht="24" customHeight="1">
      <c r="A4" s="190" t="s">
        <v>694</v>
      </c>
      <c r="B4" s="131">
        <f>DERS_PLANI!AB162</f>
        <v>0</v>
      </c>
      <c r="C4" s="131">
        <f>DERS_PLANI!AB174</f>
        <v>0</v>
      </c>
      <c r="D4" s="131">
        <f>DERS_PLANI!AB186</f>
        <v>0</v>
      </c>
      <c r="E4" s="131">
        <f>DERS_PLANI!AB198</f>
        <v>0</v>
      </c>
      <c r="F4" s="131" t="str">
        <f>DERS_PLANI!AB210</f>
        <v>PSY Telafi Sınavları</v>
      </c>
    </row>
    <row r="5" spans="1:6" ht="24" customHeight="1">
      <c r="A5" s="190" t="s">
        <v>695</v>
      </c>
      <c r="B5" s="131">
        <f>DERS_PLANI!AB163</f>
        <v>0</v>
      </c>
      <c r="C5" s="131">
        <f>DERS_PLANI!AB175</f>
        <v>0</v>
      </c>
      <c r="D5" s="131">
        <f>DERS_PLANI!AB187</f>
        <v>0</v>
      </c>
      <c r="E5" s="131">
        <f>DERS_PLANI!AB199</f>
        <v>0</v>
      </c>
      <c r="F5" s="131" t="str">
        <f>DERS_PLANI!AB211</f>
        <v>PSY Telafi Sınavları</v>
      </c>
    </row>
    <row r="6" spans="1:6" ht="24" customHeight="1">
      <c r="A6" s="190" t="s">
        <v>696</v>
      </c>
      <c r="B6" s="131">
        <f>DERS_PLANI!AB164</f>
        <v>0</v>
      </c>
      <c r="C6" s="131" t="str">
        <f>DERS_PLANI!AB176</f>
        <v>PSİ 479</v>
      </c>
      <c r="D6" s="131">
        <f>DERS_PLANI!AB188</f>
        <v>0</v>
      </c>
      <c r="E6" s="131">
        <f>DERS_PLANI!AB200</f>
        <v>0</v>
      </c>
      <c r="F6" s="131">
        <f>DERS_PLANI!AB212</f>
        <v>0</v>
      </c>
    </row>
    <row r="7" spans="1:6" ht="24" customHeight="1">
      <c r="A7" s="190" t="s">
        <v>697</v>
      </c>
      <c r="B7" s="131">
        <f>DERS_PLANI!AB165</f>
        <v>0</v>
      </c>
      <c r="C7" s="131" t="str">
        <f>DERS_PLANI!AB177</f>
        <v>PSİ 479</v>
      </c>
      <c r="D7" s="131">
        <f>DERS_PLANI!AB189</f>
        <v>0</v>
      </c>
      <c r="E7" s="131">
        <f>DERS_PLANI!AB201</f>
        <v>0</v>
      </c>
      <c r="F7" s="131">
        <f>DERS_PLANI!AB213</f>
        <v>0</v>
      </c>
    </row>
    <row r="8" spans="1:6" ht="24" customHeight="1">
      <c r="A8" s="190" t="s">
        <v>698</v>
      </c>
      <c r="B8" s="131">
        <f>DERS_PLANI!AB166</f>
        <v>0</v>
      </c>
      <c r="C8" s="131" t="str">
        <f>DERS_PLANI!AB178</f>
        <v>PSİ 479</v>
      </c>
      <c r="D8" s="131">
        <f>DERS_PLANI!AB190</f>
        <v>0</v>
      </c>
      <c r="E8" s="131">
        <f>DERS_PLANI!AB202</f>
        <v>0</v>
      </c>
      <c r="F8" s="131">
        <f>DERS_PLANI!AB214</f>
        <v>0</v>
      </c>
    </row>
    <row r="9" spans="1:6" ht="24" customHeight="1">
      <c r="A9" s="190" t="s">
        <v>699</v>
      </c>
      <c r="B9" s="131">
        <f>DERS_PLANI!AB167</f>
        <v>0</v>
      </c>
      <c r="C9" s="131">
        <f>DERS_PLANI!AB179</f>
        <v>0</v>
      </c>
      <c r="D9" s="131">
        <f>DERS_PLANI!AB191</f>
        <v>0</v>
      </c>
      <c r="E9" s="131">
        <f>DERS_PLANI!AB203</f>
        <v>0</v>
      </c>
      <c r="F9" s="131">
        <f>DERS_PLANI!AB215</f>
        <v>0</v>
      </c>
    </row>
    <row r="10" spans="1:6" ht="24" customHeight="1">
      <c r="A10" s="190" t="s">
        <v>700</v>
      </c>
      <c r="B10" s="131">
        <f>DERS_PLANI!AB168</f>
        <v>0</v>
      </c>
      <c r="C10" s="131">
        <f>DERS_PLANI!AB180</f>
        <v>0</v>
      </c>
      <c r="D10" s="131">
        <f>DERS_PLANI!AB192</f>
        <v>0</v>
      </c>
      <c r="E10" s="131">
        <f>DERS_PLANI!AB204</f>
        <v>0</v>
      </c>
      <c r="F10" s="131">
        <f>DERS_PLANI!AB216</f>
        <v>0</v>
      </c>
    </row>
    <row r="11" spans="1:6" ht="24" customHeight="1">
      <c r="A11" s="190" t="s">
        <v>701</v>
      </c>
      <c r="B11" s="131">
        <f>DERS_PLANI!AB169</f>
        <v>0</v>
      </c>
      <c r="C11" s="131">
        <f>DERS_PLANI!AB181</f>
        <v>0</v>
      </c>
      <c r="D11" s="131">
        <f>DERS_PLANI!AB193</f>
        <v>0</v>
      </c>
      <c r="E11" s="131">
        <f>DERS_PLANI!AB205</f>
        <v>0</v>
      </c>
      <c r="F11" s="131">
        <f>DERS_PLANI!AB217</f>
        <v>0</v>
      </c>
    </row>
    <row r="12" spans="1:6" ht="24" customHeight="1">
      <c r="A12" s="190" t="s">
        <v>705</v>
      </c>
      <c r="B12" s="131">
        <f>DERS_PLANI!AB170</f>
        <v>0</v>
      </c>
      <c r="C12" s="131">
        <f>DERS_PLANI!AB182</f>
        <v>0</v>
      </c>
      <c r="D12" s="131">
        <f>DERS_PLANI!AB194</f>
        <v>0</v>
      </c>
      <c r="E12" s="131">
        <f>DERS_PLANI!AB206</f>
        <v>0</v>
      </c>
      <c r="F12" s="131">
        <f>DERS_PLANI!AB218</f>
        <v>0</v>
      </c>
    </row>
    <row r="13" spans="1:6" ht="24" customHeight="1">
      <c r="A13" s="190" t="s">
        <v>703</v>
      </c>
      <c r="B13" s="131">
        <f>DERS_PLANI!AB171</f>
        <v>0</v>
      </c>
      <c r="C13" s="131">
        <f>DERS_PLANI!AB183</f>
        <v>0</v>
      </c>
      <c r="D13" s="131">
        <f>DERS_PLANI!AB195</f>
        <v>0</v>
      </c>
      <c r="E13" s="131">
        <f>DERS_PLANI!AB207</f>
        <v>0</v>
      </c>
      <c r="F13" s="131">
        <f>DERS_PLANI!AB219</f>
        <v>0</v>
      </c>
    </row>
    <row r="14" spans="1:6" ht="24" customHeight="1">
      <c r="A14" s="190" t="s">
        <v>704</v>
      </c>
      <c r="B14" s="131">
        <f>DERS_PLANI!AB172</f>
        <v>0</v>
      </c>
      <c r="C14" s="131">
        <f>DERS_PLANI!AB184</f>
        <v>0</v>
      </c>
      <c r="D14" s="131">
        <f>DERS_PLANI!AB196</f>
        <v>0</v>
      </c>
      <c r="E14" s="131">
        <f>DERS_PLANI!AB208</f>
        <v>0</v>
      </c>
      <c r="F14" s="131">
        <f>DERS_PLANI!AB220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05A2-24CF-6E4E-B3DE-34720689F9ED}">
  <dimension ref="A1:F14"/>
  <sheetViews>
    <sheetView workbookViewId="0">
      <selection activeCell="F3" sqref="F3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191" t="s">
        <v>707</v>
      </c>
      <c r="B1" s="192"/>
      <c r="C1" s="192"/>
      <c r="D1" s="192"/>
      <c r="E1" s="192"/>
      <c r="F1" s="193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DERS_PLANI!AV161</f>
        <v>0</v>
      </c>
      <c r="C3" s="131">
        <f>DERS_PLANI!AV173</f>
        <v>0</v>
      </c>
      <c r="D3" s="131">
        <f>DERS_PLANI!AV185</f>
        <v>0</v>
      </c>
      <c r="E3" s="131">
        <f>DERS_PLANI!AV197</f>
        <v>0</v>
      </c>
      <c r="F3" s="131">
        <f>DERS_PLANI!AV209</f>
        <v>0</v>
      </c>
    </row>
    <row r="4" spans="1:6" ht="24" customHeight="1">
      <c r="A4" s="190" t="s">
        <v>694</v>
      </c>
      <c r="B4" s="131">
        <f>DERS_PLANI!AV162</f>
        <v>0</v>
      </c>
      <c r="C4" s="131">
        <f>DERS_PLANI!AV174</f>
        <v>0</v>
      </c>
      <c r="D4" s="131">
        <f>DERS_PLANI!AV186</f>
        <v>0</v>
      </c>
      <c r="E4" s="131">
        <f>DERS_PLANI!AV198</f>
        <v>0</v>
      </c>
      <c r="F4" s="131">
        <f>DERS_PLANI!AV210</f>
        <v>0</v>
      </c>
    </row>
    <row r="5" spans="1:6" ht="24" customHeight="1">
      <c r="A5" s="190" t="s">
        <v>695</v>
      </c>
      <c r="B5" s="131">
        <f>DERS_PLANI!AV163</f>
        <v>0</v>
      </c>
      <c r="C5" s="131">
        <f>DERS_PLANI!AV175</f>
        <v>0</v>
      </c>
      <c r="D5" s="131">
        <f>DERS_PLANI!AV187</f>
        <v>0</v>
      </c>
      <c r="E5" s="131">
        <f>DERS_PLANI!AV199</f>
        <v>0</v>
      </c>
      <c r="F5" s="131">
        <f>DERS_PLANI!AV211</f>
        <v>0</v>
      </c>
    </row>
    <row r="6" spans="1:6" ht="24" customHeight="1">
      <c r="A6" s="190" t="s">
        <v>696</v>
      </c>
      <c r="B6" s="131">
        <f>DERS_PLANI!AV164</f>
        <v>0</v>
      </c>
      <c r="C6" s="131">
        <f>DERS_PLANI!AV176</f>
        <v>0</v>
      </c>
      <c r="D6" s="131">
        <f>DERS_PLANI!AV188</f>
        <v>0</v>
      </c>
      <c r="E6" s="131">
        <f>DERS_PLANI!AV200</f>
        <v>0</v>
      </c>
      <c r="F6" s="131">
        <f>DERS_PLANI!AV212</f>
        <v>0</v>
      </c>
    </row>
    <row r="7" spans="1:6" ht="24" customHeight="1">
      <c r="A7" s="190" t="s">
        <v>697</v>
      </c>
      <c r="B7" s="131">
        <f>DERS_PLANI!AV165</f>
        <v>0</v>
      </c>
      <c r="C7" s="131">
        <f>DERS_PLANI!AV177</f>
        <v>0</v>
      </c>
      <c r="D7" s="131">
        <f>DERS_PLANI!AV189</f>
        <v>0</v>
      </c>
      <c r="E7" s="131">
        <f>DERS_PLANI!AV201</f>
        <v>0</v>
      </c>
      <c r="F7" s="131">
        <f>DERS_PLANI!AV213</f>
        <v>0</v>
      </c>
    </row>
    <row r="8" spans="1:6" ht="24" customHeight="1">
      <c r="A8" s="190" t="s">
        <v>698</v>
      </c>
      <c r="B8" s="131">
        <f>DERS_PLANI!AV166</f>
        <v>0</v>
      </c>
      <c r="C8" s="131">
        <f>DERS_PLANI!AV178</f>
        <v>0</v>
      </c>
      <c r="D8" s="131">
        <f>DERS_PLANI!AV190</f>
        <v>0</v>
      </c>
      <c r="E8" s="131">
        <f>DERS_PLANI!AV202</f>
        <v>0</v>
      </c>
      <c r="F8" s="131">
        <f>DERS_PLANI!AV214</f>
        <v>0</v>
      </c>
    </row>
    <row r="9" spans="1:6" ht="24" customHeight="1">
      <c r="A9" s="190" t="s">
        <v>699</v>
      </c>
      <c r="B9" s="131">
        <f>DERS_PLANI!AV167</f>
        <v>0</v>
      </c>
      <c r="C9" s="131">
        <f>DERS_PLANI!AV179</f>
        <v>0</v>
      </c>
      <c r="D9" s="131">
        <f>DERS_PLANI!AV191</f>
        <v>0</v>
      </c>
      <c r="E9" s="131">
        <f>DERS_PLANI!AV203</f>
        <v>0</v>
      </c>
      <c r="F9" s="131">
        <f>DERS_PLANI!AV215</f>
        <v>0</v>
      </c>
    </row>
    <row r="10" spans="1:6" ht="24" customHeight="1">
      <c r="A10" s="190" t="s">
        <v>700</v>
      </c>
      <c r="B10" s="131">
        <f>DERS_PLANI!AV168</f>
        <v>0</v>
      </c>
      <c r="C10" s="131">
        <f>DERS_PLANI!AV180</f>
        <v>0</v>
      </c>
      <c r="D10" s="131">
        <f>DERS_PLANI!AV192</f>
        <v>0</v>
      </c>
      <c r="E10" s="131">
        <f>DERS_PLANI!AV204</f>
        <v>0</v>
      </c>
      <c r="F10" s="131">
        <f>DERS_PLANI!AV216</f>
        <v>0</v>
      </c>
    </row>
    <row r="11" spans="1:6" ht="24" customHeight="1">
      <c r="A11" s="190" t="s">
        <v>701</v>
      </c>
      <c r="B11" s="131">
        <f>DERS_PLANI!AV169</f>
        <v>0</v>
      </c>
      <c r="C11" s="131">
        <f>DERS_PLANI!AV181</f>
        <v>0</v>
      </c>
      <c r="D11" s="131">
        <f>DERS_PLANI!AV193</f>
        <v>0</v>
      </c>
      <c r="E11" s="131">
        <f>DERS_PLANI!AV205</f>
        <v>0</v>
      </c>
      <c r="F11" s="131">
        <f>DERS_PLANI!AV217</f>
        <v>0</v>
      </c>
    </row>
    <row r="12" spans="1:6" ht="24" customHeight="1">
      <c r="A12" s="190" t="s">
        <v>705</v>
      </c>
      <c r="B12" s="131">
        <f>DERS_PLANI!AV170</f>
        <v>0</v>
      </c>
      <c r="C12" s="131">
        <f>DERS_PLANI!AV182</f>
        <v>0</v>
      </c>
      <c r="D12" s="131">
        <f>DERS_PLANI!AV194</f>
        <v>0</v>
      </c>
      <c r="E12" s="131">
        <f>DERS_PLANI!AV206</f>
        <v>0</v>
      </c>
      <c r="F12" s="131">
        <f>DERS_PLANI!AV218</f>
        <v>0</v>
      </c>
    </row>
    <row r="13" spans="1:6" ht="24" customHeight="1">
      <c r="A13" s="190" t="s">
        <v>703</v>
      </c>
      <c r="B13" s="131">
        <f>DERS_PLANI!AV171</f>
        <v>0</v>
      </c>
      <c r="C13" s="131">
        <f>DERS_PLANI!AV183</f>
        <v>0</v>
      </c>
      <c r="D13" s="131">
        <f>DERS_PLANI!AV195</f>
        <v>0</v>
      </c>
      <c r="E13" s="131">
        <f>DERS_PLANI!AV207</f>
        <v>0</v>
      </c>
      <c r="F13" s="131">
        <f>DERS_PLANI!AV219</f>
        <v>0</v>
      </c>
    </row>
    <row r="14" spans="1:6" ht="24" customHeight="1">
      <c r="A14" s="190" t="s">
        <v>704</v>
      </c>
      <c r="B14" s="131">
        <f>DERS_PLANI!AV172</f>
        <v>0</v>
      </c>
      <c r="C14" s="131">
        <f>DERS_PLANI!AV184</f>
        <v>0</v>
      </c>
      <c r="D14" s="131">
        <f>DERS_PLANI!AV196</f>
        <v>0</v>
      </c>
      <c r="E14" s="131">
        <f>DERS_PLANI!AV208</f>
        <v>0</v>
      </c>
      <c r="F14" s="131">
        <f>DERS_PLANI!AV220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FE80-F579-5345-84E4-86E2A116FCBE}">
  <dimension ref="A1:F14"/>
  <sheetViews>
    <sheetView workbookViewId="0">
      <selection activeCell="D9" sqref="D9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708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DERS_PLANI!AU161</f>
        <v>0</v>
      </c>
      <c r="C3" s="131">
        <f>DERS_PLANI!AU173</f>
        <v>0</v>
      </c>
      <c r="D3" s="131">
        <f>DERS_PLANI!AU185</f>
        <v>0</v>
      </c>
      <c r="E3" s="131">
        <f>DERS_PLANI!AU197</f>
        <v>0</v>
      </c>
      <c r="F3" s="131">
        <f>DERS_PLANI!AV197</f>
        <v>0</v>
      </c>
    </row>
    <row r="4" spans="1:6" ht="24" customHeight="1">
      <c r="A4" s="190" t="s">
        <v>694</v>
      </c>
      <c r="B4" s="131">
        <f>DERS_PLANI!AU162</f>
        <v>0</v>
      </c>
      <c r="C4" s="131">
        <f>DERS_PLANI!AU174</f>
        <v>0</v>
      </c>
      <c r="D4" s="131">
        <f>DERS_PLANI!AU186</f>
        <v>0</v>
      </c>
      <c r="E4" s="131">
        <f>DERS_PLANI!AU198</f>
        <v>0</v>
      </c>
      <c r="F4" s="131">
        <f>DERS_PLANI!AV198</f>
        <v>0</v>
      </c>
    </row>
    <row r="5" spans="1:6" ht="24" customHeight="1">
      <c r="A5" s="190" t="s">
        <v>695</v>
      </c>
      <c r="B5" s="131">
        <f>DERS_PLANI!AU163</f>
        <v>0</v>
      </c>
      <c r="C5" s="131">
        <f>DERS_PLANI!AU175</f>
        <v>0</v>
      </c>
      <c r="D5" s="131">
        <f>DERS_PLANI!AU187</f>
        <v>0</v>
      </c>
      <c r="E5" s="131">
        <f>DERS_PLANI!AU199</f>
        <v>0</v>
      </c>
      <c r="F5" s="131">
        <f>DERS_PLANI!AV199</f>
        <v>0</v>
      </c>
    </row>
    <row r="6" spans="1:6" ht="24" customHeight="1">
      <c r="A6" s="190" t="s">
        <v>696</v>
      </c>
      <c r="B6" s="131">
        <f>DERS_PLANI!AU164</f>
        <v>0</v>
      </c>
      <c r="C6" s="131">
        <f>DERS_PLANI!AU176</f>
        <v>0</v>
      </c>
      <c r="D6" s="131">
        <f>DERS_PLANI!AU188</f>
        <v>0</v>
      </c>
      <c r="E6" s="131">
        <f>DERS_PLANI!AU200</f>
        <v>0</v>
      </c>
      <c r="F6" s="131">
        <f>DERS_PLANI!AV200</f>
        <v>0</v>
      </c>
    </row>
    <row r="7" spans="1:6" ht="24" customHeight="1">
      <c r="A7" s="190" t="s">
        <v>697</v>
      </c>
      <c r="B7" s="131">
        <f>DERS_PLANI!AU165</f>
        <v>0</v>
      </c>
      <c r="C7" s="131">
        <f>DERS_PLANI!AU177</f>
        <v>0</v>
      </c>
      <c r="D7" s="131">
        <f>DERS_PLANI!AU189</f>
        <v>0</v>
      </c>
      <c r="E7" s="131">
        <f>DERS_PLANI!AU201</f>
        <v>0</v>
      </c>
      <c r="F7" s="131">
        <f>DERS_PLANI!AV201</f>
        <v>0</v>
      </c>
    </row>
    <row r="8" spans="1:6" ht="24" customHeight="1">
      <c r="A8" s="190" t="s">
        <v>698</v>
      </c>
      <c r="B8" s="131">
        <f>DERS_PLANI!AU166</f>
        <v>0</v>
      </c>
      <c r="C8" s="131">
        <f>DERS_PLANI!AU178</f>
        <v>0</v>
      </c>
      <c r="D8" s="131">
        <f>DERS_PLANI!AU190</f>
        <v>0</v>
      </c>
      <c r="E8" s="131">
        <f>DERS_PLANI!AU202</f>
        <v>0</v>
      </c>
      <c r="F8" s="131">
        <f>DERS_PLANI!AV202</f>
        <v>0</v>
      </c>
    </row>
    <row r="9" spans="1:6" ht="24" customHeight="1">
      <c r="A9" s="190" t="s">
        <v>699</v>
      </c>
      <c r="B9" s="131">
        <f>DERS_PLANI!AU167</f>
        <v>0</v>
      </c>
      <c r="C9" s="131">
        <f>DERS_PLANI!AU179</f>
        <v>0</v>
      </c>
      <c r="D9" s="131">
        <f>DERS_PLANI!AU191</f>
        <v>0</v>
      </c>
      <c r="E9" s="131">
        <f>DERS_PLANI!AU203</f>
        <v>0</v>
      </c>
      <c r="F9" s="131">
        <f>DERS_PLANI!AV203</f>
        <v>0</v>
      </c>
    </row>
    <row r="10" spans="1:6" ht="24" customHeight="1">
      <c r="A10" s="190" t="s">
        <v>700</v>
      </c>
      <c r="B10" s="131">
        <f>DERS_PLANI!AU168</f>
        <v>0</v>
      </c>
      <c r="C10" s="131">
        <f>DERS_PLANI!AU180</f>
        <v>0</v>
      </c>
      <c r="D10" s="131">
        <f>DERS_PLANI!AU192</f>
        <v>0</v>
      </c>
      <c r="E10" s="131">
        <f>DERS_PLANI!AU204</f>
        <v>0</v>
      </c>
      <c r="F10" s="131">
        <f>DERS_PLANI!AV204</f>
        <v>0</v>
      </c>
    </row>
    <row r="11" spans="1:6" ht="24" customHeight="1">
      <c r="A11" s="190" t="s">
        <v>701</v>
      </c>
      <c r="B11" s="131">
        <f>DERS_PLANI!AU169</f>
        <v>0</v>
      </c>
      <c r="C11" s="131">
        <f>DERS_PLANI!AU181</f>
        <v>0</v>
      </c>
      <c r="D11" s="131">
        <f>DERS_PLANI!AU193</f>
        <v>0</v>
      </c>
      <c r="E11" s="131">
        <f>DERS_PLANI!AU205</f>
        <v>0</v>
      </c>
      <c r="F11" s="131">
        <f>DERS_PLANI!AV205</f>
        <v>0</v>
      </c>
    </row>
    <row r="12" spans="1:6" ht="24" customHeight="1">
      <c r="A12" s="190" t="s">
        <v>705</v>
      </c>
      <c r="B12" s="131">
        <f>DERS_PLANI!AU170</f>
        <v>0</v>
      </c>
      <c r="C12" s="131">
        <f>DERS_PLANI!AU182</f>
        <v>0</v>
      </c>
      <c r="D12" s="131">
        <f>DERS_PLANI!AU194</f>
        <v>0</v>
      </c>
      <c r="E12" s="131">
        <f>DERS_PLANI!AU206</f>
        <v>0</v>
      </c>
      <c r="F12" s="131">
        <f>DERS_PLANI!AV206</f>
        <v>0</v>
      </c>
    </row>
    <row r="13" spans="1:6" ht="24" customHeight="1">
      <c r="A13" s="190" t="s">
        <v>703</v>
      </c>
      <c r="B13" s="131">
        <f>DERS_PLANI!AU171</f>
        <v>0</v>
      </c>
      <c r="C13" s="131">
        <f>DERS_PLANI!AU183</f>
        <v>0</v>
      </c>
      <c r="D13" s="131">
        <f>DERS_PLANI!AU195</f>
        <v>0</v>
      </c>
      <c r="E13" s="131">
        <f>DERS_PLANI!AU207</f>
        <v>0</v>
      </c>
      <c r="F13" s="131">
        <f>DERS_PLANI!AV207</f>
        <v>0</v>
      </c>
    </row>
    <row r="14" spans="1:6" ht="24" customHeight="1">
      <c r="A14" s="190" t="s">
        <v>704</v>
      </c>
      <c r="B14" s="131">
        <f>DERS_PLANI!AU172</f>
        <v>0</v>
      </c>
      <c r="C14" s="131">
        <f>DERS_PLANI!AU184</f>
        <v>0</v>
      </c>
      <c r="D14" s="131">
        <f>DERS_PLANI!AU196</f>
        <v>0</v>
      </c>
      <c r="E14" s="131">
        <f>DERS_PLANI!AU208</f>
        <v>0</v>
      </c>
      <c r="F14" s="131">
        <f>DERS_PLANI!AV208</f>
        <v>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F484-0479-8B40-85C4-3DAD14A33070}">
  <dimension ref="A1:O14"/>
  <sheetViews>
    <sheetView workbookViewId="0">
      <selection activeCell="G11" sqref="G11"/>
    </sheetView>
  </sheetViews>
  <sheetFormatPr defaultColWidth="11" defaultRowHeight="15.95"/>
  <cols>
    <col min="1" max="1" width="12.5" customWidth="1"/>
    <col min="2" max="6" width="25.875" customWidth="1"/>
    <col min="7" max="7" width="42.125" customWidth="1"/>
  </cols>
  <sheetData>
    <row r="1" spans="1:15" ht="33.950000000000003">
      <c r="A1" s="356" t="s">
        <v>709</v>
      </c>
      <c r="B1" s="357"/>
      <c r="C1" s="357"/>
      <c r="D1" s="357"/>
      <c r="E1" s="357"/>
      <c r="F1" s="358"/>
      <c r="G1" s="169"/>
      <c r="H1" s="169"/>
      <c r="I1" s="169"/>
      <c r="J1" s="169"/>
      <c r="K1" s="169"/>
      <c r="L1" s="169"/>
      <c r="M1" s="169"/>
      <c r="N1" s="169"/>
      <c r="O1" s="169"/>
    </row>
    <row r="2" spans="1:15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  <c r="G2" s="169"/>
      <c r="H2" s="169"/>
      <c r="I2" s="169"/>
      <c r="J2" s="169"/>
      <c r="K2" s="169"/>
      <c r="L2" s="169"/>
      <c r="M2" s="169"/>
      <c r="N2" s="169"/>
      <c r="O2" s="169"/>
    </row>
    <row r="3" spans="1:15" ht="24" customHeight="1">
      <c r="A3" s="190" t="s">
        <v>693</v>
      </c>
      <c r="B3" s="165" t="str">
        <f>DERS_PLANI!AT161</f>
        <v>MYO - BIL 211	BİLGİSAYARLI İSTATİSTİK  Ş1</v>
      </c>
      <c r="C3" s="165" t="str">
        <f>DERS_PLANI!AT173</f>
        <v>MYO - IHA106	BİLGİSAYAR DESTEKLİ TASARIM ş1</v>
      </c>
      <c r="D3" s="165" t="str">
        <f>DERS_PLANI!AT185</f>
        <v>MYO - BIL208	MOBİL PROGRAMLAMA ş1</v>
      </c>
      <c r="E3" s="165" t="str">
        <f>DERS_PLANI!AT197</f>
        <v>MYO - BIL210 VERİ YAPILARI Ş1</v>
      </c>
      <c r="F3" s="165" t="str">
        <f>DERS_PLANI!AT209</f>
        <v>MYO - TAP 104  BİLGİSAYAR DESTEKLİ TASARIM II Ş3</v>
      </c>
      <c r="G3" s="169"/>
    </row>
    <row r="4" spans="1:15" ht="24" customHeight="1">
      <c r="A4" s="190" t="s">
        <v>694</v>
      </c>
      <c r="B4" s="165" t="str">
        <f>DERS_PLANI!AT162</f>
        <v>MYO - BIL 211	BİLGİSAYARLI İSTATİSTİK  Ş1</v>
      </c>
      <c r="C4" s="165" t="str">
        <f>DERS_PLANI!AT174</f>
        <v>MYO - IHA106	BİLGİSAYAR DESTEKLİ TASARIM ş1</v>
      </c>
      <c r="D4" s="165" t="str">
        <f>DERS_PLANI!AT186</f>
        <v>MYO - BIL208	MOBİL PROGRAMLAMA ş1</v>
      </c>
      <c r="E4" s="165" t="str">
        <f>DERS_PLANI!AT198</f>
        <v>MYO - BIL210 VERİ YAPILARI Ş1</v>
      </c>
      <c r="F4" s="165" t="str">
        <f>DERS_PLANI!AT210</f>
        <v>MYO - TAP 104  BİLGİSAYAR DESTEKLİ TASARIM II Ş3</v>
      </c>
      <c r="G4" s="169"/>
    </row>
    <row r="5" spans="1:15" ht="24" customHeight="1">
      <c r="A5" s="190" t="s">
        <v>695</v>
      </c>
      <c r="B5" s="165" t="str">
        <f>DERS_PLANI!AT163</f>
        <v>MYO - BIL 211	BİLGİSAYARLI İSTATİSTİK  Ş1</v>
      </c>
      <c r="C5" s="165" t="str">
        <f>DERS_PLANI!AT175</f>
        <v>MYO - IHA106	BİLGİSAYAR DESTEKLİ TASARIM ş1</v>
      </c>
      <c r="D5" s="165" t="str">
        <f>DERS_PLANI!AT187</f>
        <v>MYO - BIL208	MOBİL PROGRAMLAMA ş1</v>
      </c>
      <c r="E5" s="165" t="str">
        <f>DERS_PLANI!AT199</f>
        <v>MYO - BIL210 VERİ YAPILARI Ş1</v>
      </c>
      <c r="F5" s="165" t="str">
        <f>DERS_PLANI!AT211</f>
        <v>MYO - TAP 104  BİLGİSAYAR DESTEKLİ TASARIM II Ş3</v>
      </c>
      <c r="G5" s="169"/>
    </row>
    <row r="6" spans="1:15" ht="24" customHeight="1">
      <c r="A6" s="190" t="s">
        <v>696</v>
      </c>
      <c r="B6" s="165" t="str">
        <f>DERS_PLANI!AT164</f>
        <v>MYO -TAP 108 DİJİTAL TASARIM Ş1</v>
      </c>
      <c r="C6" s="165" t="str">
        <f>DERS_PLANI!AT176</f>
        <v>TAP 204  BİLGİSAYAR DESTEKLİ ANİMASYON II Ş1</v>
      </c>
      <c r="D6" s="165" t="str">
        <f>DERS_PLANI!AT188</f>
        <v xml:space="preserve">MYO - BGT 108 WEB GÜVENLİĞİ ş1 </v>
      </c>
      <c r="E6" s="165" t="str">
        <f>DERS_PLANI!AT200</f>
        <v>MYO - BGT 108 WEB GÜVENLİĞİ ş2</v>
      </c>
      <c r="F6" s="165">
        <f>DERS_PLANI!AT212</f>
        <v>0</v>
      </c>
      <c r="G6" s="169"/>
    </row>
    <row r="7" spans="1:15" ht="24" customHeight="1">
      <c r="A7" s="190" t="s">
        <v>697</v>
      </c>
      <c r="B7" s="165" t="str">
        <f>DERS_PLANI!AT165</f>
        <v>MYO -TAP 108 DİJİTAL TASARIM Ş1</v>
      </c>
      <c r="C7" s="165" t="str">
        <f>DERS_PLANI!AT177</f>
        <v>TAP 204  BİLGİSAYAR DESTEKLİ ANİMASYON II Ş1</v>
      </c>
      <c r="D7" s="165" t="str">
        <f>DERS_PLANI!AT189</f>
        <v xml:space="preserve">MYO - BGT 108 WEB GÜVENLİĞİ ş1 </v>
      </c>
      <c r="E7" s="165" t="str">
        <f>DERS_PLANI!AT201</f>
        <v>MYO - BGT 108 WEB GÜVENLİĞİ ş2</v>
      </c>
      <c r="F7" s="165">
        <f>DERS_PLANI!AT213</f>
        <v>0</v>
      </c>
      <c r="G7" s="169"/>
    </row>
    <row r="8" spans="1:15" ht="24" customHeight="1">
      <c r="A8" s="190" t="s">
        <v>698</v>
      </c>
      <c r="B8" s="165" t="str">
        <f>DERS_PLANI!AT166</f>
        <v>MYO -TAP 108 DİJİTAL TASARIM Ş1</v>
      </c>
      <c r="C8" s="165" t="str">
        <f>DERS_PLANI!AT178</f>
        <v>TAP 204  BİLGİSAYAR DESTEKLİ ANİMASYON II Ş1</v>
      </c>
      <c r="D8" s="165" t="str">
        <f>DERS_PLANI!AT190</f>
        <v xml:space="preserve">MYO - BGT 108 WEB GÜVENLİĞİ ş1 </v>
      </c>
      <c r="E8" s="165" t="str">
        <f>DERS_PLANI!AT202</f>
        <v>MYO - BGT 108 WEB GÜVENLİĞİ ş2</v>
      </c>
      <c r="F8" s="165">
        <f>DERS_PLANI!AT214</f>
        <v>0</v>
      </c>
      <c r="G8" s="169"/>
    </row>
    <row r="9" spans="1:15" ht="24" customHeight="1">
      <c r="A9" s="190" t="s">
        <v>699</v>
      </c>
      <c r="B9" s="165" t="str">
        <f>DERS_PLANI!AT167</f>
        <v>MYO -TAP 108 DİJİTAL TASARIM Ş2</v>
      </c>
      <c r="C9" s="165" t="str">
        <f>DERS_PLANI!AT179</f>
        <v>TAP 204  BİLGİSAYAR DESTEKLİ ANİMASYON II Ş2</v>
      </c>
      <c r="D9" s="165" t="str">
        <f>DERS_PLANI!AT191</f>
        <v>MYO - BIL208	MOBİL PROGRAMLAMA ş2</v>
      </c>
      <c r="E9" s="165" t="str">
        <f>DERS_PLANI!AT203</f>
        <v xml:space="preserve">MYO - VTK 104 Web Okuryazarlığı </v>
      </c>
      <c r="F9" s="165">
        <f>DERS_PLANI!AT215</f>
        <v>0</v>
      </c>
      <c r="G9" s="169"/>
    </row>
    <row r="10" spans="1:15" ht="24" customHeight="1">
      <c r="A10" s="190" t="s">
        <v>700</v>
      </c>
      <c r="B10" s="165" t="str">
        <f>DERS_PLANI!AT168</f>
        <v>MYO -TAP 108 DİJİTAL TASARIM Ş2</v>
      </c>
      <c r="C10" s="165" t="str">
        <f>DERS_PLANI!AT180</f>
        <v>TAP 204  BİLGİSAYAR DESTEKLİ ANİMASYON II Ş2</v>
      </c>
      <c r="D10" s="165" t="str">
        <f>DERS_PLANI!AT192</f>
        <v>MYO - BIL208	MOBİL PROGRAMLAMA ş2</v>
      </c>
      <c r="E10" s="165" t="str">
        <f>DERS_PLANI!AT204</f>
        <v xml:space="preserve">MYO - VTK 104 Web Okuryazarlığı </v>
      </c>
      <c r="F10" s="165">
        <f>DERS_PLANI!AT216</f>
        <v>0</v>
      </c>
      <c r="G10" s="169"/>
    </row>
    <row r="11" spans="1:15" ht="24" customHeight="1">
      <c r="A11" s="190" t="s">
        <v>701</v>
      </c>
      <c r="B11" s="165" t="str">
        <f>DERS_PLANI!AT169</f>
        <v>MYO -TAP 108 DİJİTAL TASARIM Ş2</v>
      </c>
      <c r="C11" s="165" t="str">
        <f>DERS_PLANI!AT181</f>
        <v>TAP 204  BİLGİSAYAR DESTEKLİ ANİMASYON II Ş2</v>
      </c>
      <c r="D11" s="165" t="str">
        <f>DERS_PLANI!AT193</f>
        <v>MYO - BIL208	MOBİL PROGRAMLAMA ş2</v>
      </c>
      <c r="E11" s="165" t="str">
        <f>DERS_PLANI!AT205</f>
        <v xml:space="preserve">MYO - VTK 104 Web Okuryazarlığı </v>
      </c>
      <c r="F11" s="165">
        <f>DERS_PLANI!AT217</f>
        <v>0</v>
      </c>
      <c r="G11" s="169"/>
    </row>
    <row r="12" spans="1:15" ht="24" customHeight="1">
      <c r="A12" s="190" t="s">
        <v>705</v>
      </c>
      <c r="B12" s="165">
        <f>DERS_PLANI!AT170</f>
        <v>0</v>
      </c>
      <c r="C12" s="165">
        <f>DERS_PLANI!AT182</f>
        <v>0</v>
      </c>
      <c r="D12" s="165">
        <f>DERS_PLANI!AT194</f>
        <v>0</v>
      </c>
      <c r="E12" s="165">
        <f>DERS_PLANI!AT206</f>
        <v>0</v>
      </c>
      <c r="F12" s="165">
        <f>DERS_PLANI!AT218</f>
        <v>0</v>
      </c>
    </row>
    <row r="13" spans="1:15" ht="24" customHeight="1">
      <c r="A13" s="190" t="s">
        <v>703</v>
      </c>
      <c r="B13" s="165">
        <f>DERS_PLANI!AT171</f>
        <v>0</v>
      </c>
      <c r="C13" s="165">
        <f>DERS_PLANI!AT183</f>
        <v>0</v>
      </c>
      <c r="D13" s="165">
        <f>DERS_PLANI!AT195</f>
        <v>0</v>
      </c>
      <c r="E13" s="165">
        <f>DERS_PLANI!AT207</f>
        <v>0</v>
      </c>
      <c r="F13" s="165">
        <f>DERS_PLANI!AT219</f>
        <v>0</v>
      </c>
    </row>
    <row r="14" spans="1:15" ht="24" customHeight="1">
      <c r="A14" s="190" t="s">
        <v>704</v>
      </c>
      <c r="B14" s="165">
        <f>DERS_PLANI!AT172</f>
        <v>0</v>
      </c>
      <c r="C14" s="165">
        <f>DERS_PLANI!AT184</f>
        <v>0</v>
      </c>
      <c r="D14" s="165">
        <f>DERS_PLANI!AT196</f>
        <v>0</v>
      </c>
      <c r="E14" s="165">
        <f>DERS_PLANI!AT208</f>
        <v>0</v>
      </c>
      <c r="F14" s="165">
        <f>DERS_PLANI!AT220</f>
        <v>0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2EC8-5871-8C4B-B611-B3C20182487E}">
  <dimension ref="A1:F14"/>
  <sheetViews>
    <sheetView workbookViewId="0">
      <selection activeCell="D10" sqref="D10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710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 t="str">
        <f>DERS_PLANI!AS161</f>
        <v>MYO - BIL 215 Nesne Tabanli Programlama II Ş1</v>
      </c>
      <c r="C3" s="165" t="str">
        <f>DERS_PLANI!AS173</f>
        <v>MYO - VTK 108 İleri Web Tasarımı</v>
      </c>
      <c r="D3" s="165" t="str">
        <f>DERS_PLANI!AS185</f>
        <v xml:space="preserve">MYO - IHA106	BİLGİSAYAR DESTEKLİ TASARIM ş2  </v>
      </c>
      <c r="E3" s="165" t="str">
        <f>DERS_PLANI!AS197</f>
        <v>MYO - TAP 102 GRAFİK VE ANİMASYON Ş1</v>
      </c>
      <c r="F3" s="165" t="str">
        <f>DERS_PLANI!AS209</f>
        <v>MYO - BIL 201 Görsel Programlama II Ş2</v>
      </c>
    </row>
    <row r="4" spans="1:6" ht="24" customHeight="1">
      <c r="A4" s="190" t="s">
        <v>694</v>
      </c>
      <c r="B4" s="165" t="str">
        <f>DERS_PLANI!AS162</f>
        <v>MYO - BIL 215 Nesne Tabanli Programlama II Ş1</v>
      </c>
      <c r="C4" s="165" t="str">
        <f>DERS_PLANI!AS174</f>
        <v>MYO - VTK 108 İleri Web Tasarımı</v>
      </c>
      <c r="D4" s="165" t="str">
        <f>DERS_PLANI!AS186</f>
        <v xml:space="preserve">MYO - IHA106	BİLGİSAYAR DESTEKLİ TASARIM ş2  </v>
      </c>
      <c r="E4" s="165" t="str">
        <f>DERS_PLANI!AS198</f>
        <v>MYO - TAP 102 GRAFİK VE ANİMASYON Ş1</v>
      </c>
      <c r="F4" s="165" t="str">
        <f>DERS_PLANI!AS210</f>
        <v>MYO - BIL 201 Görsel Programlama II Ş2</v>
      </c>
    </row>
    <row r="5" spans="1:6" ht="24" customHeight="1">
      <c r="A5" s="190" t="s">
        <v>695</v>
      </c>
      <c r="B5" s="165" t="str">
        <f>DERS_PLANI!AS163</f>
        <v>MYO - BIL 215 Nesne Tabanli Programlama II Ş1</v>
      </c>
      <c r="C5" s="165" t="str">
        <f>DERS_PLANI!AS175</f>
        <v>MYO - VTK 108 İleri Web Tasarımı</v>
      </c>
      <c r="D5" s="165" t="str">
        <f>DERS_PLANI!AS187</f>
        <v xml:space="preserve">MYO - IHA106	BİLGİSAYAR DESTEKLİ TASARIM ş2  </v>
      </c>
      <c r="E5" s="165" t="str">
        <f>DERS_PLANI!AS199</f>
        <v>MYO - TAP 102 GRAFİK VE ANİMASYON Ş1</v>
      </c>
      <c r="F5" s="165" t="str">
        <f>DERS_PLANI!AS211</f>
        <v>MYO - BIL 201 Görsel Programlama II Ş2</v>
      </c>
    </row>
    <row r="6" spans="1:6" ht="24" customHeight="1">
      <c r="A6" s="190" t="s">
        <v>696</v>
      </c>
      <c r="B6" s="165" t="str">
        <f>DERS_PLANI!AS164</f>
        <v>MYO - TAP 104  BİLGİSAYAR DESTEKLİ TASARIM II Ş1</v>
      </c>
      <c r="C6" s="165" t="str">
        <f>DERS_PLANI!AS176</f>
        <v>MYO - TAP 208  İLLUSTRASYON Ş1</v>
      </c>
      <c r="D6" s="165" t="str">
        <f>DERS_PLANI!AS188</f>
        <v>MYO - BGT 102	GÜVENLİ AĞ TASARIMI VE CİHAZ YÖNETİMİ ş2</v>
      </c>
      <c r="E6" s="165" t="str">
        <f>DERS_PLANI!AS200</f>
        <v>MYO - TAP 102 GRAFİK VE ANİMASYON Ş2</v>
      </c>
      <c r="F6" s="165">
        <f>DERS_PLANI!AS212</f>
        <v>0</v>
      </c>
    </row>
    <row r="7" spans="1:6" ht="24" customHeight="1">
      <c r="A7" s="190" t="s">
        <v>697</v>
      </c>
      <c r="B7" s="165" t="str">
        <f>DERS_PLANI!AS165</f>
        <v>MYO - TAP 104  BİLGİSAYAR DESTEKLİ TASARIM II Ş1</v>
      </c>
      <c r="C7" s="165" t="str">
        <f>DERS_PLANI!AS177</f>
        <v>MYO - TAP 208  İLLUSTRASYON Ş1</v>
      </c>
      <c r="D7" s="165" t="str">
        <f>DERS_PLANI!AS189</f>
        <v>MYO - BGT 102	GÜVENLİ AĞ TASARIMI VE CİHAZ YÖNETİMİ ş2</v>
      </c>
      <c r="E7" s="165" t="str">
        <f>DERS_PLANI!AS201</f>
        <v>MYO - TAP 102 GRAFİK VE ANİMASYON Ş2</v>
      </c>
      <c r="F7" s="165">
        <f>DERS_PLANI!AS213</f>
        <v>0</v>
      </c>
    </row>
    <row r="8" spans="1:6" ht="24" customHeight="1">
      <c r="A8" s="190" t="s">
        <v>698</v>
      </c>
      <c r="B8" s="165" t="str">
        <f>DERS_PLANI!AS166</f>
        <v>MYO - TAP 104  BİLGİSAYAR DESTEKLİ TASARIM II Ş1</v>
      </c>
      <c r="C8" s="165" t="str">
        <f>DERS_PLANI!AS178</f>
        <v>MYO - TAP 208  İLLUSTRASYON Ş1</v>
      </c>
      <c r="D8" s="165" t="str">
        <f>DERS_PLANI!AS190</f>
        <v>MYO - BGT 102	GÜVENLİ AĞ TASARIMI VE CİHAZ YÖNETİMİ ş2</v>
      </c>
      <c r="E8" s="165" t="str">
        <f>DERS_PLANI!AS202</f>
        <v>MYO - TAP 102 GRAFİK VE ANİMASYON Ş2</v>
      </c>
      <c r="F8" s="165">
        <f>DERS_PLANI!AS214</f>
        <v>0</v>
      </c>
    </row>
    <row r="9" spans="1:6" ht="24" customHeight="1">
      <c r="A9" s="190" t="s">
        <v>699</v>
      </c>
      <c r="B9" s="165" t="str">
        <f>DERS_PLANI!AS167</f>
        <v>MYO - TAP 104  BİLGİSAYAR DESTEKLİ TASARIM II Ş2</v>
      </c>
      <c r="C9" s="165" t="str">
        <f>DERS_PLANI!AS179</f>
        <v>MYO - TAP 208  İLLUSTRASYON Ş2</v>
      </c>
      <c r="D9" s="165" t="str">
        <f>DERS_PLANI!AS191</f>
        <v>CMM152</v>
      </c>
      <c r="E9" s="165" t="str">
        <f>DERS_PLANI!AS203</f>
        <v xml:space="preserve">MYO - BIL 201 Görsel Programlama II Ş1 </v>
      </c>
      <c r="F9" s="165">
        <f>DERS_PLANI!AS215</f>
        <v>0</v>
      </c>
    </row>
    <row r="10" spans="1:6" ht="24" customHeight="1">
      <c r="A10" s="190" t="s">
        <v>700</v>
      </c>
      <c r="B10" s="165" t="str">
        <f>DERS_PLANI!AS168</f>
        <v>MYO - TAP 104  BİLGİSAYAR DESTEKLİ TASARIM II Ş2</v>
      </c>
      <c r="C10" s="165" t="str">
        <f>DERS_PLANI!AS180</f>
        <v>MYO - TAP 208  İLLUSTRASYON Ş2</v>
      </c>
      <c r="D10" s="165" t="str">
        <f>DERS_PLANI!AS192</f>
        <v>CMM152</v>
      </c>
      <c r="E10" s="165" t="str">
        <f>DERS_PLANI!AS204</f>
        <v xml:space="preserve">MYO - BIL 201 Görsel Programlama II Ş1 </v>
      </c>
      <c r="F10" s="165">
        <f>DERS_PLANI!AS216</f>
        <v>0</v>
      </c>
    </row>
    <row r="11" spans="1:6" ht="24" customHeight="1">
      <c r="A11" s="190" t="s">
        <v>701</v>
      </c>
      <c r="B11" s="165" t="str">
        <f>DERS_PLANI!AS169</f>
        <v>MYO - TAP 104  BİLGİSAYAR DESTEKLİ TASARIM II Ş2</v>
      </c>
      <c r="C11" s="165" t="str">
        <f>DERS_PLANI!AS181</f>
        <v>MYO - TAP 208  İLLUSTRASYON Ş2</v>
      </c>
      <c r="D11" s="165" t="str">
        <f>DERS_PLANI!AS193</f>
        <v>CMM152</v>
      </c>
      <c r="E11" s="165" t="str">
        <f>DERS_PLANI!AS205</f>
        <v xml:space="preserve">MYO - BIL 201 Görsel Programlama II Ş1 </v>
      </c>
      <c r="F11" s="165">
        <f>DERS_PLANI!AS217</f>
        <v>0</v>
      </c>
    </row>
    <row r="12" spans="1:6" ht="24" customHeight="1">
      <c r="A12" s="190" t="s">
        <v>705</v>
      </c>
      <c r="B12" s="165">
        <f>DERS_PLANI!AS170</f>
        <v>0</v>
      </c>
      <c r="C12" s="165">
        <f>DERS_PLANI!AS182</f>
        <v>0</v>
      </c>
      <c r="D12" s="165">
        <f>DERS_PLANI!AS194</f>
        <v>0</v>
      </c>
      <c r="E12" s="165">
        <f>DERS_PLANI!AS206</f>
        <v>0</v>
      </c>
      <c r="F12" s="165">
        <f>DERS_PLANI!AS218</f>
        <v>0</v>
      </c>
    </row>
    <row r="13" spans="1:6" ht="24" customHeight="1">
      <c r="A13" s="190" t="s">
        <v>703</v>
      </c>
      <c r="B13" s="165">
        <f>DERS_PLANI!AS171</f>
        <v>0</v>
      </c>
      <c r="C13" s="165">
        <f>DERS_PLANI!AS183</f>
        <v>0</v>
      </c>
      <c r="D13" s="165">
        <f>DERS_PLANI!AS195</f>
        <v>0</v>
      </c>
      <c r="E13" s="165">
        <f>DERS_PLANI!AS207</f>
        <v>0</v>
      </c>
      <c r="F13" s="165">
        <f>DERS_PLANI!AS219</f>
        <v>0</v>
      </c>
    </row>
    <row r="14" spans="1:6" ht="24" customHeight="1">
      <c r="A14" s="190" t="s">
        <v>704</v>
      </c>
      <c r="B14" s="165">
        <f>DERS_PLANI!AS172</f>
        <v>0</v>
      </c>
      <c r="C14" s="165">
        <f>DERS_PLANI!AS184</f>
        <v>0</v>
      </c>
      <c r="D14" s="165">
        <f>DERS_PLANI!AS196</f>
        <v>0</v>
      </c>
      <c r="E14" s="165">
        <f>DERS_PLANI!AS208</f>
        <v>0</v>
      </c>
      <c r="F14" s="165">
        <f>DERS_PLANI!AS220</f>
        <v>0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C2DE-E693-5944-B2FC-0B9BFA4FECD7}">
  <dimension ref="A1:F14"/>
  <sheetViews>
    <sheetView workbookViewId="0">
      <selection activeCell="F8" sqref="F8"/>
    </sheetView>
  </sheetViews>
  <sheetFormatPr defaultColWidth="11" defaultRowHeight="15.95"/>
  <cols>
    <col min="1" max="1" width="12.5" customWidth="1"/>
    <col min="2" max="5" width="25.875" customWidth="1"/>
    <col min="6" max="6" width="35.625" bestFit="1" customWidth="1"/>
  </cols>
  <sheetData>
    <row r="1" spans="1:6" ht="34.5" customHeight="1">
      <c r="A1" s="356" t="s">
        <v>711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 t="str">
        <f>DERS_PLANI!AR161</f>
        <v xml:space="preserve">ENG 202 - 08 - GSTF </v>
      </c>
      <c r="C3" s="131">
        <f>DERS_PLANI!AR173</f>
        <v>0</v>
      </c>
      <c r="D3" s="131">
        <f>DERS_PLANI!AR185</f>
        <v>0</v>
      </c>
      <c r="E3" s="131" t="str">
        <f>DERS_PLANI!AR197</f>
        <v>IAD 242</v>
      </c>
      <c r="F3" s="315" t="str">
        <f>DERS_PLANI!AR209</f>
        <v>CMM 371 Freehand Drawing and Rendering Techniques</v>
      </c>
    </row>
    <row r="4" spans="1:6" ht="24" customHeight="1">
      <c r="A4" s="190" t="s">
        <v>694</v>
      </c>
      <c r="B4" s="131" t="str">
        <f>DERS_PLANI!AR162</f>
        <v xml:space="preserve">ENG 202 - 08 - GSTF </v>
      </c>
      <c r="C4" s="131">
        <f>DERS_PLANI!AR174</f>
        <v>0</v>
      </c>
      <c r="D4" s="131">
        <f>DERS_PLANI!AR186</f>
        <v>0</v>
      </c>
      <c r="E4" s="131" t="str">
        <f>DERS_PLANI!AR198</f>
        <v>IAD 242</v>
      </c>
      <c r="F4" s="315" t="str">
        <f>DERS_PLANI!AR210</f>
        <v>CMM 371 Freehand Drawing and Rendering Techniques</v>
      </c>
    </row>
    <row r="5" spans="1:6" ht="24" customHeight="1">
      <c r="A5" s="190" t="s">
        <v>695</v>
      </c>
      <c r="B5" s="131">
        <f>DERS_PLANI!AR163</f>
        <v>0</v>
      </c>
      <c r="C5" s="131">
        <f>DERS_PLANI!AR175</f>
        <v>0</v>
      </c>
      <c r="D5" s="131">
        <f>DERS_PLANI!AR187</f>
        <v>0</v>
      </c>
      <c r="E5" s="131" t="str">
        <f>DERS_PLANI!AR199</f>
        <v>IAD 242</v>
      </c>
      <c r="F5" s="315" t="str">
        <f>DERS_PLANI!AR211</f>
        <v>CMM 371 Freehand Drawing and Rendering Techniques</v>
      </c>
    </row>
    <row r="6" spans="1:6" ht="24" customHeight="1">
      <c r="A6" s="190" t="s">
        <v>696</v>
      </c>
      <c r="B6" s="131">
        <f>DERS_PLANI!AR164</f>
        <v>0</v>
      </c>
      <c r="C6" s="131">
        <f>DERS_PLANI!AR176</f>
        <v>0</v>
      </c>
      <c r="D6" s="131">
        <f>DERS_PLANI!AR188</f>
        <v>0</v>
      </c>
      <c r="E6" s="131">
        <f>DERS_PLANI!AR200</f>
        <v>0</v>
      </c>
      <c r="F6" s="131">
        <f>DERS_PLANI!AR212</f>
        <v>0</v>
      </c>
    </row>
    <row r="7" spans="1:6" ht="24" customHeight="1">
      <c r="A7" s="190" t="s">
        <v>697</v>
      </c>
      <c r="B7" s="131" t="str">
        <f>DERS_PLANI!AR165</f>
        <v>IAD 101</v>
      </c>
      <c r="C7" s="131" t="str">
        <f>DERS_PLANI!AR177</f>
        <v>IAD 351 (Dr. Nihan Türker)</v>
      </c>
      <c r="D7" s="131">
        <f>DERS_PLANI!AR189</f>
        <v>0</v>
      </c>
      <c r="E7" s="131" t="str">
        <f>DERS_PLANI!AR201</f>
        <v xml:space="preserve">IAD 101 </v>
      </c>
      <c r="F7" s="131">
        <f>DERS_PLANI!AR213</f>
        <v>0</v>
      </c>
    </row>
    <row r="8" spans="1:6" ht="24" customHeight="1">
      <c r="A8" s="190" t="s">
        <v>698</v>
      </c>
      <c r="B8" s="131" t="str">
        <f>DERS_PLANI!AR166</f>
        <v>IAD 101</v>
      </c>
      <c r="C8" s="131" t="str">
        <f>DERS_PLANI!AR178</f>
        <v>IAD 351 (Dr. Nihan Türker)</v>
      </c>
      <c r="D8" s="131">
        <f>DERS_PLANI!AR190</f>
        <v>0</v>
      </c>
      <c r="E8" s="131" t="str">
        <f>DERS_PLANI!AR202</f>
        <v>IAD 101</v>
      </c>
      <c r="F8" s="131">
        <f>DERS_PLANI!AR214</f>
        <v>0</v>
      </c>
    </row>
    <row r="9" spans="1:6" ht="24" customHeight="1">
      <c r="A9" s="190" t="s">
        <v>699</v>
      </c>
      <c r="B9" s="131" t="str">
        <f>DERS_PLANI!AR167</f>
        <v>IAD 101</v>
      </c>
      <c r="C9" s="131" t="str">
        <f>DERS_PLANI!AR179</f>
        <v>IAD 351 (Dr. Nihan Türker)</v>
      </c>
      <c r="D9" s="131">
        <f>DERS_PLANI!AR191</f>
        <v>0</v>
      </c>
      <c r="E9" s="131" t="str">
        <f>DERS_PLANI!AR203</f>
        <v>IAD 101</v>
      </c>
      <c r="F9" s="131">
        <f>DERS_PLANI!AR215</f>
        <v>0</v>
      </c>
    </row>
    <row r="10" spans="1:6" ht="24" customHeight="1">
      <c r="A10" s="190" t="s">
        <v>700</v>
      </c>
      <c r="B10" s="131" t="str">
        <f>DERS_PLANI!AR168</f>
        <v>IAD 101</v>
      </c>
      <c r="C10" s="131" t="str">
        <f>DERS_PLANI!AR180</f>
        <v>IAD 351 (Dr. Nihan Türker)</v>
      </c>
      <c r="D10" s="131">
        <f>DERS_PLANI!AR192</f>
        <v>0</v>
      </c>
      <c r="E10" s="131" t="str">
        <f>DERS_PLANI!AR204</f>
        <v>IAD 101</v>
      </c>
      <c r="F10" s="131">
        <f>DERS_PLANI!AR216</f>
        <v>0</v>
      </c>
    </row>
    <row r="11" spans="1:6" ht="24" customHeight="1">
      <c r="A11" s="190" t="s">
        <v>701</v>
      </c>
      <c r="B11" s="131">
        <f>DERS_PLANI!AR169</f>
        <v>0</v>
      </c>
      <c r="C11" s="131" t="str">
        <f>DERS_PLANI!AR181</f>
        <v>IAD 351 (Dr. Nihan Türker)</v>
      </c>
      <c r="D11" s="131">
        <f>DERS_PLANI!AR193</f>
        <v>0</v>
      </c>
      <c r="E11" s="131">
        <f>DERS_PLANI!AR205</f>
        <v>0</v>
      </c>
      <c r="F11" s="131">
        <f>DERS_PLANI!AR217</f>
        <v>0</v>
      </c>
    </row>
    <row r="12" spans="1:6" ht="24" customHeight="1">
      <c r="A12" s="190" t="s">
        <v>705</v>
      </c>
      <c r="B12" s="131">
        <f>DERS_PLANI!AR170</f>
        <v>0</v>
      </c>
      <c r="C12" s="131">
        <f>DERS_PLANI!AR182</f>
        <v>0</v>
      </c>
      <c r="D12" s="131">
        <f>DERS_PLANI!AR194</f>
        <v>0</v>
      </c>
      <c r="E12" s="131">
        <f>DERS_PLANI!AR206</f>
        <v>0</v>
      </c>
      <c r="F12" s="131">
        <f>DERS_PLANI!AR218</f>
        <v>0</v>
      </c>
    </row>
    <row r="13" spans="1:6" ht="24" customHeight="1">
      <c r="A13" s="190" t="s">
        <v>703</v>
      </c>
      <c r="B13" s="131">
        <f>DERS_PLANI!AR171</f>
        <v>0</v>
      </c>
      <c r="C13" s="131">
        <f>DERS_PLANI!AR183</f>
        <v>0</v>
      </c>
      <c r="D13" s="131">
        <f>DERS_PLANI!AR195</f>
        <v>0</v>
      </c>
      <c r="E13" s="131">
        <f>DERS_PLANI!AR207</f>
        <v>0</v>
      </c>
      <c r="F13" s="131">
        <f>DERS_PLANI!AR219</f>
        <v>0</v>
      </c>
    </row>
    <row r="14" spans="1:6" ht="24" customHeight="1">
      <c r="A14" s="190" t="s">
        <v>704</v>
      </c>
      <c r="B14" s="131">
        <f>DERS_PLANI!AR172</f>
        <v>0</v>
      </c>
      <c r="C14" s="131">
        <f>DERS_PLANI!AR184</f>
        <v>0</v>
      </c>
      <c r="D14" s="131">
        <f>DERS_PLANI!AR196</f>
        <v>0</v>
      </c>
      <c r="E14" s="131">
        <f>DERS_PLANI!AR208</f>
        <v>0</v>
      </c>
      <c r="F14" s="131">
        <f>DERS_PLANI!AR220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B76D-45BE-9F46-A0C9-40A7893034AF}">
  <dimension ref="A1:F14"/>
  <sheetViews>
    <sheetView workbookViewId="0">
      <selection activeCell="F8" sqref="F8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3.950000000000003">
      <c r="A1" s="356" t="s">
        <v>712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DERS_PLANI!AQ161</f>
        <v>0</v>
      </c>
      <c r="C3" s="131">
        <f>DERS_PLANI!AQ173</f>
        <v>0</v>
      </c>
      <c r="D3" s="131">
        <f>DERS_PLANI!AQ185</f>
        <v>0</v>
      </c>
      <c r="E3" s="131" t="str">
        <f>DERS_PLANI!AQ197</f>
        <v>ceng214 - algoritma II</v>
      </c>
      <c r="F3" s="131">
        <f>DERS_PLANI!AQ209</f>
        <v>0</v>
      </c>
    </row>
    <row r="4" spans="1:6" ht="24" customHeight="1">
      <c r="A4" s="190" t="s">
        <v>694</v>
      </c>
      <c r="B4" s="131">
        <f>DERS_PLANI!AQ162</f>
        <v>0</v>
      </c>
      <c r="C4" s="131">
        <f>DERS_PLANI!AQ174</f>
        <v>0</v>
      </c>
      <c r="D4" s="131">
        <f>DERS_PLANI!AQ186</f>
        <v>0</v>
      </c>
      <c r="E4" s="131" t="str">
        <f>DERS_PLANI!AQ198</f>
        <v>ceng214 - algoritma II</v>
      </c>
      <c r="F4" s="131">
        <f>DERS_PLANI!AQ210</f>
        <v>0</v>
      </c>
    </row>
    <row r="5" spans="1:6" ht="24" customHeight="1">
      <c r="A5" s="190" t="s">
        <v>695</v>
      </c>
      <c r="B5" s="131">
        <f>DERS_PLANI!AQ163</f>
        <v>0</v>
      </c>
      <c r="C5" s="131">
        <f>DERS_PLANI!AQ175</f>
        <v>0</v>
      </c>
      <c r="D5" s="131">
        <f>DERS_PLANI!AQ187</f>
        <v>0</v>
      </c>
      <c r="E5" s="131" t="str">
        <f>DERS_PLANI!AQ199</f>
        <v>ceng214 - algoritma II</v>
      </c>
      <c r="F5" s="131">
        <f>DERS_PLANI!AQ211</f>
        <v>0</v>
      </c>
    </row>
    <row r="6" spans="1:6" ht="24" customHeight="1">
      <c r="A6" s="190" t="s">
        <v>696</v>
      </c>
      <c r="B6" s="131">
        <f>DERS_PLANI!AQ164</f>
        <v>0</v>
      </c>
      <c r="C6" s="131">
        <f>DERS_PLANI!AQ176</f>
        <v>0</v>
      </c>
      <c r="D6" s="131" t="str">
        <f>DERS_PLANI!AQ188</f>
        <v>MIS 242
(Assoc. Prof. Erdoğan)</v>
      </c>
      <c r="E6" s="315" t="str">
        <f>DERS_PLANI!AQ200</f>
        <v>YBS 372 - PROGRAMLAMADA ÖZEL KONULAR
CEM IRMAK</v>
      </c>
      <c r="F6" s="131">
        <f>DERS_PLANI!AQ212</f>
        <v>0</v>
      </c>
    </row>
    <row r="7" spans="1:6" ht="24" customHeight="1">
      <c r="A7" s="190" t="s">
        <v>697</v>
      </c>
      <c r="B7" s="131">
        <f>DERS_PLANI!AQ165</f>
        <v>0</v>
      </c>
      <c r="C7" s="131" t="str">
        <f>DERS_PLANI!AQ177</f>
        <v>ENG 302 - 8</v>
      </c>
      <c r="D7" s="131" t="str">
        <f>DERS_PLANI!AQ189</f>
        <v>MIS 242
(Assoc. Prof. Erdoğan)</v>
      </c>
      <c r="E7" s="315" t="str">
        <f>DERS_PLANI!AQ201</f>
        <v>YBS 372 - PROGRAMLAMADA ÖZEL KONULAR
CEM IRMAK</v>
      </c>
      <c r="F7" s="131">
        <f>DERS_PLANI!AQ213</f>
        <v>0</v>
      </c>
    </row>
    <row r="8" spans="1:6" ht="24" customHeight="1">
      <c r="A8" s="190" t="s">
        <v>698</v>
      </c>
      <c r="B8" s="131">
        <f>DERS_PLANI!AQ166</f>
        <v>0</v>
      </c>
      <c r="C8" s="131" t="str">
        <f>DERS_PLANI!AQ178</f>
        <v>ENG 302 - 8</v>
      </c>
      <c r="D8" s="131" t="str">
        <f>DERS_PLANI!AQ190</f>
        <v>MIS 242
(Assoc. Prof. Erdoğan)</v>
      </c>
      <c r="E8" s="315" t="str">
        <f>DERS_PLANI!AQ202</f>
        <v>YBS 372 - PROGRAMLAMADA ÖZEL KONULAR
CEM IRMAK</v>
      </c>
      <c r="F8" s="131">
        <f>DERS_PLANI!AQ214</f>
        <v>0</v>
      </c>
    </row>
    <row r="9" spans="1:6" ht="24" customHeight="1">
      <c r="A9" s="190" t="s">
        <v>699</v>
      </c>
      <c r="B9" s="131">
        <f>DERS_PLANI!AQ167</f>
        <v>0</v>
      </c>
      <c r="C9" s="131">
        <f>DERS_PLANI!AQ179</f>
        <v>0</v>
      </c>
      <c r="D9" s="131">
        <f>DERS_PLANI!AQ191</f>
        <v>0</v>
      </c>
      <c r="E9" s="131">
        <f>DERS_PLANI!AQ203</f>
        <v>0</v>
      </c>
      <c r="F9" s="131">
        <f>DERS_PLANI!AQ215</f>
        <v>0</v>
      </c>
    </row>
    <row r="10" spans="1:6" ht="24" customHeight="1">
      <c r="A10" s="190" t="s">
        <v>700</v>
      </c>
      <c r="B10" s="131">
        <f>DERS_PLANI!AQ168</f>
        <v>0</v>
      </c>
      <c r="C10" s="131">
        <f>DERS_PLANI!AQ180</f>
        <v>0</v>
      </c>
      <c r="D10" s="131">
        <f>DERS_PLANI!AQ192</f>
        <v>0</v>
      </c>
      <c r="E10" s="131">
        <f>DERS_PLANI!AQ204</f>
        <v>0</v>
      </c>
      <c r="F10" s="131">
        <f>DERS_PLANI!AQ216</f>
        <v>0</v>
      </c>
    </row>
    <row r="11" spans="1:6" ht="24" customHeight="1">
      <c r="A11" s="190" t="s">
        <v>701</v>
      </c>
      <c r="B11" s="131">
        <f>DERS_PLANI!AQ169</f>
        <v>0</v>
      </c>
      <c r="C11" s="131">
        <f>DERS_PLANI!AQ181</f>
        <v>0</v>
      </c>
      <c r="D11" s="131">
        <f>DERS_PLANI!AQ193</f>
        <v>0</v>
      </c>
      <c r="E11" s="131">
        <f>DERS_PLANI!AQ205</f>
        <v>0</v>
      </c>
      <c r="F11" s="131">
        <f>DERS_PLANI!AQ217</f>
        <v>0</v>
      </c>
    </row>
    <row r="12" spans="1:6" ht="24" customHeight="1">
      <c r="A12" s="190" t="s">
        <v>705</v>
      </c>
      <c r="B12" s="131">
        <f>DERS_PLANI!AQ170</f>
        <v>0</v>
      </c>
      <c r="C12" s="131">
        <f>DERS_PLANI!AQ182</f>
        <v>0</v>
      </c>
      <c r="D12" s="131">
        <f>DERS_PLANI!AQ194</f>
        <v>0</v>
      </c>
      <c r="E12" s="131">
        <f>DERS_PLANI!AQ206</f>
        <v>0</v>
      </c>
      <c r="F12" s="131">
        <f>DERS_PLANI!AQ218</f>
        <v>0</v>
      </c>
    </row>
    <row r="13" spans="1:6" ht="24" customHeight="1">
      <c r="A13" s="190" t="s">
        <v>703</v>
      </c>
      <c r="B13" s="131">
        <f>DERS_PLANI!AQ171</f>
        <v>0</v>
      </c>
      <c r="C13" s="131">
        <f>DERS_PLANI!AQ183</f>
        <v>0</v>
      </c>
      <c r="D13" s="131">
        <f>DERS_PLANI!AQ195</f>
        <v>0</v>
      </c>
      <c r="E13" s="131">
        <f>DERS_PLANI!AQ207</f>
        <v>0</v>
      </c>
      <c r="F13" s="131">
        <f>DERS_PLANI!AQ219</f>
        <v>0</v>
      </c>
    </row>
    <row r="14" spans="1:6" ht="24" customHeight="1">
      <c r="A14" s="190" t="s">
        <v>704</v>
      </c>
      <c r="B14" s="131">
        <f>DERS_PLANI!AQ172</f>
        <v>0</v>
      </c>
      <c r="C14" s="131">
        <f>DERS_PLANI!AQ184</f>
        <v>0</v>
      </c>
      <c r="D14" s="131">
        <f>DERS_PLANI!AQ196</f>
        <v>0</v>
      </c>
      <c r="E14" s="131">
        <f>DERS_PLANI!AQ208</f>
        <v>0</v>
      </c>
      <c r="F14" s="131">
        <f>DERS_PLANI!AQ220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BA36-BA2F-6F43-991A-0832A5464A17}">
  <dimension ref="A1:F14"/>
  <sheetViews>
    <sheetView workbookViewId="0">
      <selection activeCell="E3" sqref="E3:F3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713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 t="str">
        <f>DERS_PLANI!AP161</f>
        <v>MYO - ETP224 Pazarlamada Vaka Analizleri</v>
      </c>
      <c r="C3" s="165">
        <f>DERS_PLANI!AP173</f>
        <v>0</v>
      </c>
      <c r="D3" s="165" t="str">
        <f>DERS_PLANI!AP185</f>
        <v xml:space="preserve">MYO - TAP 202 SİNEMA VE ANİMASYON TARİHİ </v>
      </c>
      <c r="E3" s="165" t="str">
        <f>DERS_PLANI!AP197</f>
        <v>MYO - IHA 231	METEOROLOJİ</v>
      </c>
      <c r="F3" s="165">
        <f>DERS_PLANI!AP209</f>
        <v>0</v>
      </c>
    </row>
    <row r="4" spans="1:6" ht="24" customHeight="1">
      <c r="A4" s="190" t="s">
        <v>694</v>
      </c>
      <c r="B4" s="165" t="str">
        <f>DERS_PLANI!AP162</f>
        <v>MYO - ETP224 Pazarlamada Vaka Analizleri</v>
      </c>
      <c r="C4" s="165" t="str">
        <f>DERS_PLANI!AP174</f>
        <v>MYO - TAP 210  FİKRİ HAKLAR VE ETİK</v>
      </c>
      <c r="D4" s="165" t="str">
        <f>DERS_PLANI!AP186</f>
        <v xml:space="preserve">MYO - TAP 202 SİNEMA VE ANİMASYON TARİHİ </v>
      </c>
      <c r="E4" s="165" t="str">
        <f>DERS_PLANI!AP198</f>
        <v>MYO - IHA 231	METEOROLOJİ</v>
      </c>
      <c r="F4" s="165">
        <f>DERS_PLANI!AP210</f>
        <v>0</v>
      </c>
    </row>
    <row r="5" spans="1:6" ht="24" customHeight="1">
      <c r="A5" s="190" t="s">
        <v>695</v>
      </c>
      <c r="B5" s="165" t="str">
        <f>DERS_PLANI!AP163</f>
        <v>MYO - ETP224 Pazarlamada Vaka Analizleri</v>
      </c>
      <c r="C5" s="165" t="str">
        <f>DERS_PLANI!AP175</f>
        <v>MYO - TAP 210  FİKRİ HAKLAR VE ETİK</v>
      </c>
      <c r="D5" s="165" t="str">
        <f>DERS_PLANI!AP187</f>
        <v xml:space="preserve">MYO - TAP 202 SİNEMA VE ANİMASYON TARİHİ </v>
      </c>
      <c r="E5" s="165" t="str">
        <f>DERS_PLANI!AP199</f>
        <v>MYO - IHA 231	METEOROLOJİ</v>
      </c>
      <c r="F5" s="165">
        <f>DERS_PLANI!AP211</f>
        <v>0</v>
      </c>
    </row>
    <row r="6" spans="1:6" ht="24" customHeight="1">
      <c r="A6" s="190" t="s">
        <v>696</v>
      </c>
      <c r="B6" s="165" t="str">
        <f>DERS_PLANI!AP164</f>
        <v>MYO - ETP 206 DIŞ TİCARET İŞLEMLERİ YÖNETİMİ</v>
      </c>
      <c r="C6" s="165" t="str">
        <f>DERS_PLANI!AP176</f>
        <v>MYO - TAP 206 YARATICI YAZARLIK</v>
      </c>
      <c r="D6" s="165" t="str">
        <f>DERS_PLANI!AP188</f>
        <v>MYO - TAP 228  Sanat Tarihi</v>
      </c>
      <c r="E6" s="165" t="str">
        <f>DERS_PLANI!AP200</f>
        <v>MYO - TAP 206 YARATICI YAZARLIK</v>
      </c>
      <c r="F6" s="165">
        <f>DERS_PLANI!AP212</f>
        <v>0</v>
      </c>
    </row>
    <row r="7" spans="1:6" ht="24" customHeight="1">
      <c r="A7" s="190" t="s">
        <v>697</v>
      </c>
      <c r="B7" s="165" t="str">
        <f>DERS_PLANI!AP165</f>
        <v>MYO - ETP 206 DIŞ TİCARET İŞLEMLERİ YÖNETİMİ</v>
      </c>
      <c r="C7" s="165" t="str">
        <f>DERS_PLANI!AP177</f>
        <v>MYO - TAP 206 YARATICI YAZARLIK</v>
      </c>
      <c r="D7" s="165" t="str">
        <f>DERS_PLANI!AP189</f>
        <v>MYO - TAP 228  Sanat Tarihi</v>
      </c>
      <c r="E7" s="165" t="str">
        <f>DERS_PLANI!AP201</f>
        <v>MYO - TAP 206 YARATICI YAZARLIK</v>
      </c>
      <c r="F7" s="165">
        <f>DERS_PLANI!AP213</f>
        <v>0</v>
      </c>
    </row>
    <row r="8" spans="1:6" ht="24" customHeight="1">
      <c r="A8" s="190" t="s">
        <v>698</v>
      </c>
      <c r="B8" s="165" t="str">
        <f>DERS_PLANI!AP166</f>
        <v>MYO - ETP 206 DIŞ TİCARET İŞLEMLERİ YÖNETİMİ</v>
      </c>
      <c r="C8" s="165" t="str">
        <f>DERS_PLANI!AP178</f>
        <v>MYO - TAP 206 YARATICI YAZARLIK</v>
      </c>
      <c r="D8" s="165" t="str">
        <f>DERS_PLANI!AP190</f>
        <v>MYO - TAP 228  Sanat Tarihi</v>
      </c>
      <c r="E8" s="165" t="str">
        <f>DERS_PLANI!AP202</f>
        <v>MYO - TAP 206 YARATICI YAZARLIK</v>
      </c>
      <c r="F8" s="165">
        <f>DERS_PLANI!AP214</f>
        <v>0</v>
      </c>
    </row>
    <row r="9" spans="1:6" ht="24" customHeight="1">
      <c r="A9" s="190" t="s">
        <v>699</v>
      </c>
      <c r="B9" s="165">
        <f>DERS_PLANI!AP167</f>
        <v>0</v>
      </c>
      <c r="C9" s="165">
        <f>DERS_PLANI!AP179</f>
        <v>0</v>
      </c>
      <c r="D9" s="165">
        <f>DERS_PLANI!AP191</f>
        <v>0</v>
      </c>
      <c r="E9" s="165" t="str">
        <f>DERS_PLANI!Q50</f>
        <v xml:space="preserve">MYO - TAP222 Görsel Yapımlar İçin Ses Prodüksiyonu </v>
      </c>
      <c r="F9" s="165">
        <f>DERS_PLANI!AP215</f>
        <v>0</v>
      </c>
    </row>
    <row r="10" spans="1:6" ht="24" customHeight="1">
      <c r="A10" s="190" t="s">
        <v>700</v>
      </c>
      <c r="B10" s="165">
        <f>DERS_PLANI!AP168</f>
        <v>0</v>
      </c>
      <c r="C10" s="165">
        <f>DERS_PLANI!AP180</f>
        <v>0</v>
      </c>
      <c r="D10" s="165">
        <f>DERS_PLANI!AP192</f>
        <v>0</v>
      </c>
      <c r="E10" s="165" t="str">
        <f>DERS_PLANI!Q51</f>
        <v xml:space="preserve">MYO - TAP222 Görsel Yapımlar İçin Ses Prodüksiyonu </v>
      </c>
      <c r="F10" s="165">
        <f>DERS_PLANI!AP216</f>
        <v>0</v>
      </c>
    </row>
    <row r="11" spans="1:6" ht="24" customHeight="1">
      <c r="A11" s="190" t="s">
        <v>701</v>
      </c>
      <c r="B11" s="165">
        <f>DERS_PLANI!AP169</f>
        <v>0</v>
      </c>
      <c r="C11" s="165">
        <f>DERS_PLANI!AP181</f>
        <v>0</v>
      </c>
      <c r="D11" s="165">
        <f>DERS_PLANI!AP193</f>
        <v>0</v>
      </c>
      <c r="E11" s="165" t="str">
        <f>DERS_PLANI!Q52</f>
        <v xml:space="preserve">MYO - TAP222 Görsel Yapımlar İçin Ses Prodüksiyonu </v>
      </c>
      <c r="F11" s="165">
        <f>DERS_PLANI!AP217</f>
        <v>0</v>
      </c>
    </row>
    <row r="12" spans="1:6" ht="24" customHeight="1">
      <c r="A12" s="190" t="s">
        <v>705</v>
      </c>
      <c r="B12" s="165">
        <f>DERS_PLANI!AP170</f>
        <v>0</v>
      </c>
      <c r="C12" s="165">
        <f>DERS_PLANI!AP182</f>
        <v>0</v>
      </c>
      <c r="D12" s="165">
        <f>DERS_PLANI!AP194</f>
        <v>0</v>
      </c>
      <c r="E12" s="165">
        <f>DERS_PLANI!AP206</f>
        <v>0</v>
      </c>
      <c r="F12" s="165">
        <f>DERS_PLANI!AP218</f>
        <v>0</v>
      </c>
    </row>
    <row r="13" spans="1:6" ht="24" customHeight="1">
      <c r="A13" s="190" t="s">
        <v>703</v>
      </c>
      <c r="B13" s="165">
        <f>DERS_PLANI!AP171</f>
        <v>0</v>
      </c>
      <c r="C13" s="165">
        <f>DERS_PLANI!AP183</f>
        <v>0</v>
      </c>
      <c r="D13" s="165">
        <f>DERS_PLANI!AP195</f>
        <v>0</v>
      </c>
      <c r="E13" s="165">
        <f>DERS_PLANI!AP207</f>
        <v>0</v>
      </c>
      <c r="F13" s="165">
        <f>DERS_PLANI!AP219</f>
        <v>0</v>
      </c>
    </row>
    <row r="14" spans="1:6" ht="24" customHeight="1">
      <c r="A14" s="190" t="s">
        <v>704</v>
      </c>
      <c r="B14" s="165">
        <f>DERS_PLANI!AP172</f>
        <v>0</v>
      </c>
      <c r="C14" s="165">
        <f>DERS_PLANI!AP184</f>
        <v>0</v>
      </c>
      <c r="D14" s="165">
        <f>DERS_PLANI!AP196</f>
        <v>0</v>
      </c>
      <c r="E14" s="165">
        <f>DERS_PLANI!AP208</f>
        <v>0</v>
      </c>
      <c r="F14" s="165">
        <f>DERS_PLANI!AP220</f>
        <v>0</v>
      </c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F938-A6CB-FF4A-B1A8-1EFEBDE1C737}">
  <dimension ref="A1:F14"/>
  <sheetViews>
    <sheetView topLeftCell="A2" workbookViewId="0">
      <selection activeCell="D9" sqref="D9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714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>
        <f>DERS_PLANI!AO161</f>
        <v>0</v>
      </c>
      <c r="C3" s="165" t="str">
        <f>DERS_PLANI!AO173</f>
        <v>MYO - IHA202	ELEKTRONİK ALGILAYICILAR</v>
      </c>
      <c r="D3" s="165" t="str">
        <f>DERS_PLANI!AO185</f>
        <v>MYO - İHA204	MİKRODENETLEYİCİLER</v>
      </c>
      <c r="E3" s="165">
        <f>DERS_PLANI!AO197</f>
        <v>0</v>
      </c>
      <c r="F3" s="165">
        <f>DERS_PLANI!AO209</f>
        <v>0</v>
      </c>
    </row>
    <row r="4" spans="1:6" ht="24" customHeight="1">
      <c r="A4" s="190" t="s">
        <v>694</v>
      </c>
      <c r="B4" s="165" t="str">
        <f>DERS_PLANI!AO162</f>
        <v>MYO - IHA112	TEMEL ELEKTRİK ve ELEKTRONİK ş1</v>
      </c>
      <c r="C4" s="165" t="str">
        <f>DERS_PLANI!AO174</f>
        <v>MYO - IHA202	ELEKTRONİK ALGILAYICILAR</v>
      </c>
      <c r="D4" s="165" t="str">
        <f>DERS_PLANI!AO186</f>
        <v>MYO - İHA204	MİKRODENETLEYİCİLER</v>
      </c>
      <c r="E4" s="165">
        <f>DERS_PLANI!AO198</f>
        <v>0</v>
      </c>
      <c r="F4" s="165">
        <f>DERS_PLANI!AO210</f>
        <v>0</v>
      </c>
    </row>
    <row r="5" spans="1:6" ht="24" customHeight="1">
      <c r="A5" s="190" t="s">
        <v>695</v>
      </c>
      <c r="B5" s="165" t="str">
        <f>DERS_PLANI!AO163</f>
        <v>MYO - IHA112	TEMEL ELEKTRİK ve ELEKTRONİK ş1</v>
      </c>
      <c r="C5" s="165" t="str">
        <f>DERS_PLANI!AO175</f>
        <v>MYO - IHA202	ELEKTRONİK ALGILAYICILAR</v>
      </c>
      <c r="D5" s="165" t="str">
        <f>DERS_PLANI!AO187</f>
        <v>MYO - İHA204	MİKRODENETLEYİCİLER</v>
      </c>
      <c r="E5" s="165">
        <f>DERS_PLANI!AO199</f>
        <v>0</v>
      </c>
      <c r="F5" s="165">
        <f>DERS_PLANI!AO211</f>
        <v>0</v>
      </c>
    </row>
    <row r="6" spans="1:6" ht="24" customHeight="1">
      <c r="A6" s="190" t="s">
        <v>696</v>
      </c>
      <c r="B6" s="165">
        <f>DERS_PLANI!AO164</f>
        <v>0</v>
      </c>
      <c r="C6" s="165">
        <f>DERS_PLANI!AO176</f>
        <v>0</v>
      </c>
      <c r="D6" s="165" t="str">
        <f>DERS_PLANI!AO188</f>
        <v>MYO -  IHA 224 - SAYISAL ELEKTRONİK</v>
      </c>
      <c r="E6" s="165" t="str">
        <f>DERS_PLANI!AO200</f>
        <v>MYO - IHA 210	AERODİNAMİK VE AVİYONİK SİSTEM TASARIMI</v>
      </c>
      <c r="F6" s="165">
        <f>DERS_PLANI!AO212</f>
        <v>0</v>
      </c>
    </row>
    <row r="7" spans="1:6" ht="24" customHeight="1">
      <c r="A7" s="190" t="s">
        <v>697</v>
      </c>
      <c r="B7" s="165">
        <f>DERS_PLANI!AO165</f>
        <v>0</v>
      </c>
      <c r="C7" s="165">
        <f>DERS_PLANI!AO177</f>
        <v>0</v>
      </c>
      <c r="D7" s="165" t="str">
        <f>DERS_PLANI!AO189</f>
        <v>MYO -  IHA 224 - SAYISAL ELEKTRONİK</v>
      </c>
      <c r="E7" s="165" t="str">
        <f>DERS_PLANI!AO201</f>
        <v>MYO - IHA 210	AERODİNAMİK VE AVİYONİK SİSTEM TASARIMI</v>
      </c>
      <c r="F7" s="165">
        <f>DERS_PLANI!AO213</f>
        <v>0</v>
      </c>
    </row>
    <row r="8" spans="1:6" ht="24" customHeight="1">
      <c r="A8" s="190" t="s">
        <v>698</v>
      </c>
      <c r="B8" s="165">
        <f>DERS_PLANI!AO166</f>
        <v>0</v>
      </c>
      <c r="C8" s="165">
        <f>DERS_PLANI!AO178</f>
        <v>0</v>
      </c>
      <c r="D8" s="165" t="str">
        <f>DERS_PLANI!AO190</f>
        <v>MYO -  IHA 224 - SAYISAL ELEKTRONİK</v>
      </c>
      <c r="E8" s="165" t="str">
        <f>DERS_PLANI!AO202</f>
        <v>MYO - IHA 210	AERODİNAMİK VE AVİYONİK SİSTEM TASARIMI</v>
      </c>
      <c r="F8" s="165">
        <f>DERS_PLANI!AO214</f>
        <v>0</v>
      </c>
    </row>
    <row r="9" spans="1:6" ht="24" customHeight="1">
      <c r="A9" s="190" t="s">
        <v>699</v>
      </c>
      <c r="B9" s="165">
        <f>DERS_PLANI!AO167</f>
        <v>0</v>
      </c>
      <c r="C9" s="165">
        <f>DERS_PLANI!AO179</f>
        <v>0</v>
      </c>
      <c r="D9" s="165">
        <f>DERS_PLANI!AO191</f>
        <v>0</v>
      </c>
      <c r="E9" s="165" t="str">
        <f>DERS_PLANI!AO203</f>
        <v>MYO - ETP 204 MARKA YÖNETİMİ</v>
      </c>
      <c r="F9" s="165">
        <f>DERS_PLANI!AO215</f>
        <v>0</v>
      </c>
    </row>
    <row r="10" spans="1:6" ht="24" customHeight="1">
      <c r="A10" s="190" t="s">
        <v>700</v>
      </c>
      <c r="B10" s="165">
        <f>DERS_PLANI!AO168</f>
        <v>0</v>
      </c>
      <c r="C10" s="165">
        <f>DERS_PLANI!AO180</f>
        <v>0</v>
      </c>
      <c r="D10" s="165">
        <f>DERS_PLANI!AO192</f>
        <v>0</v>
      </c>
      <c r="E10" s="165" t="str">
        <f>DERS_PLANI!AO204</f>
        <v>MYO - ETP 204 MARKA YÖNETİMİ</v>
      </c>
      <c r="F10" s="165">
        <f>DERS_PLANI!AO216</f>
        <v>0</v>
      </c>
    </row>
    <row r="11" spans="1:6" ht="24" customHeight="1">
      <c r="A11" s="190" t="s">
        <v>701</v>
      </c>
      <c r="B11" s="165">
        <f>DERS_PLANI!AO169</f>
        <v>0</v>
      </c>
      <c r="C11" s="165">
        <f>DERS_PLANI!AO181</f>
        <v>0</v>
      </c>
      <c r="D11" s="165">
        <f>DERS_PLANI!AO193</f>
        <v>0</v>
      </c>
      <c r="E11" s="165" t="str">
        <f>DERS_PLANI!AO205</f>
        <v>MYO - ETP 204 MARKA YÖNETİMİ</v>
      </c>
      <c r="F11" s="165">
        <f>DERS_PLANI!AO217</f>
        <v>0</v>
      </c>
    </row>
    <row r="12" spans="1:6" ht="24" customHeight="1">
      <c r="A12" s="190" t="s">
        <v>705</v>
      </c>
      <c r="B12" s="165">
        <f>DERS_PLANI!AO170</f>
        <v>0</v>
      </c>
      <c r="C12" s="165">
        <f>DERS_PLANI!AO182</f>
        <v>0</v>
      </c>
      <c r="D12" s="165">
        <f>DERS_PLANI!AO194</f>
        <v>0</v>
      </c>
      <c r="E12" s="165">
        <f>DERS_PLANI!AO206</f>
        <v>0</v>
      </c>
      <c r="F12" s="165">
        <f>DERS_PLANI!AO218</f>
        <v>0</v>
      </c>
    </row>
    <row r="13" spans="1:6" ht="24" customHeight="1">
      <c r="A13" s="190" t="s">
        <v>703</v>
      </c>
      <c r="B13" s="165">
        <f>DERS_PLANI!AO171</f>
        <v>0</v>
      </c>
      <c r="C13" s="165">
        <f>DERS_PLANI!AO183</f>
        <v>0</v>
      </c>
      <c r="D13" s="165">
        <f>DERS_PLANI!AO195</f>
        <v>0</v>
      </c>
      <c r="E13" s="165">
        <f>DERS_PLANI!AO207</f>
        <v>0</v>
      </c>
      <c r="F13" s="165">
        <f>DERS_PLANI!AO219</f>
        <v>0</v>
      </c>
    </row>
    <row r="14" spans="1:6" ht="24" customHeight="1">
      <c r="A14" s="190" t="s">
        <v>704</v>
      </c>
      <c r="B14" s="165">
        <f>DERS_PLANI!AO172</f>
        <v>0</v>
      </c>
      <c r="C14" s="165">
        <f>DERS_PLANI!AO184</f>
        <v>0</v>
      </c>
      <c r="D14" s="165">
        <f>DERS_PLANI!AO196</f>
        <v>0</v>
      </c>
      <c r="E14" s="165">
        <f>DERS_PLANI!AO208</f>
        <v>0</v>
      </c>
      <c r="F14" s="165">
        <f>DERS_PLANI!AO220</f>
        <v>0</v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CD7B-44F0-C14E-8B2A-092A32FC1E91}">
  <dimension ref="A1:F14"/>
  <sheetViews>
    <sheetView topLeftCell="A2" workbookViewId="0">
      <selection activeCell="F3" sqref="F3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715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DERS_PLANI!AN161</f>
        <v>0</v>
      </c>
      <c r="C3" s="131">
        <f>DERS_PLANI!AN173</f>
        <v>0</v>
      </c>
      <c r="D3" s="131">
        <f>DERS_PLANI!AN185</f>
        <v>0</v>
      </c>
      <c r="E3" s="131">
        <f>DERS_PLANI!AN197</f>
        <v>0</v>
      </c>
      <c r="F3" s="131">
        <f>DERS_PLANI!AN209</f>
        <v>0</v>
      </c>
    </row>
    <row r="4" spans="1:6" ht="24" customHeight="1">
      <c r="A4" s="190" t="s">
        <v>694</v>
      </c>
      <c r="B4" s="131">
        <f>DERS_PLANI!AN162</f>
        <v>0</v>
      </c>
      <c r="C4" s="131">
        <f>DERS_PLANI!AN174</f>
        <v>0</v>
      </c>
      <c r="D4" s="131">
        <f>DERS_PLANI!AN186</f>
        <v>0</v>
      </c>
      <c r="E4" s="131">
        <f>DERS_PLANI!AN198</f>
        <v>0</v>
      </c>
      <c r="F4" s="131">
        <f>DERS_PLANI!AN210</f>
        <v>0</v>
      </c>
    </row>
    <row r="5" spans="1:6" ht="24" customHeight="1">
      <c r="A5" s="190" t="s">
        <v>695</v>
      </c>
      <c r="B5" s="131">
        <f>DERS_PLANI!AN163</f>
        <v>0</v>
      </c>
      <c r="C5" s="131">
        <f>DERS_PLANI!AN175</f>
        <v>0</v>
      </c>
      <c r="D5" s="131">
        <f>DERS_PLANI!AN187</f>
        <v>0</v>
      </c>
      <c r="E5" s="131">
        <f>DERS_PLANI!AN199</f>
        <v>0</v>
      </c>
      <c r="F5" s="131">
        <f>DERS_PLANI!AN211</f>
        <v>0</v>
      </c>
    </row>
    <row r="6" spans="1:6" ht="24" customHeight="1">
      <c r="A6" s="190" t="s">
        <v>696</v>
      </c>
      <c r="B6" s="131">
        <f>DERS_PLANI!AN164</f>
        <v>0</v>
      </c>
      <c r="C6" s="131">
        <f>DERS_PLANI!AN176</f>
        <v>0</v>
      </c>
      <c r="D6" s="131">
        <f>DERS_PLANI!AN188</f>
        <v>0</v>
      </c>
      <c r="E6" s="131">
        <f>DERS_PLANI!AN200</f>
        <v>0</v>
      </c>
      <c r="F6" s="131">
        <f>DERS_PLANI!AN212</f>
        <v>0</v>
      </c>
    </row>
    <row r="7" spans="1:6" ht="24" customHeight="1">
      <c r="A7" s="190" t="s">
        <v>697</v>
      </c>
      <c r="B7" s="131">
        <f>DERS_PLANI!AN165</f>
        <v>0</v>
      </c>
      <c r="C7" s="131">
        <f>DERS_PLANI!AN177</f>
        <v>0</v>
      </c>
      <c r="D7" s="131">
        <f>DERS_PLANI!AN189</f>
        <v>0</v>
      </c>
      <c r="E7" s="131">
        <f>DERS_PLANI!AN201</f>
        <v>0</v>
      </c>
      <c r="F7" s="131">
        <f>DERS_PLANI!AN213</f>
        <v>0</v>
      </c>
    </row>
    <row r="8" spans="1:6" ht="24" customHeight="1">
      <c r="A8" s="190" t="s">
        <v>698</v>
      </c>
      <c r="B8" s="131">
        <f>DERS_PLANI!AN166</f>
        <v>0</v>
      </c>
      <c r="C8" s="131">
        <f>DERS_PLANI!AN178</f>
        <v>0</v>
      </c>
      <c r="D8" s="131">
        <f>DERS_PLANI!AN190</f>
        <v>0</v>
      </c>
      <c r="E8" s="131">
        <f>DERS_PLANI!AN202</f>
        <v>0</v>
      </c>
      <c r="F8" s="131">
        <f>DERS_PLANI!AN214</f>
        <v>0</v>
      </c>
    </row>
    <row r="9" spans="1:6" ht="24" customHeight="1">
      <c r="A9" s="190" t="s">
        <v>699</v>
      </c>
      <c r="B9" s="131">
        <f>DERS_PLANI!AN167</f>
        <v>0</v>
      </c>
      <c r="C9" s="131">
        <f>DERS_PLANI!AN179</f>
        <v>0</v>
      </c>
      <c r="D9" s="131">
        <f>DERS_PLANI!AN191</f>
        <v>0</v>
      </c>
      <c r="E9" s="131">
        <f>DERS_PLANI!AN203</f>
        <v>0</v>
      </c>
      <c r="F9" s="131">
        <f>DERS_PLANI!AN215</f>
        <v>0</v>
      </c>
    </row>
    <row r="10" spans="1:6" ht="24" customHeight="1">
      <c r="A10" s="190" t="s">
        <v>700</v>
      </c>
      <c r="B10" s="131">
        <f>DERS_PLANI!AN168</f>
        <v>0</v>
      </c>
      <c r="C10" s="131">
        <f>DERS_PLANI!AN180</f>
        <v>0</v>
      </c>
      <c r="D10" s="131">
        <f>DERS_PLANI!AN192</f>
        <v>0</v>
      </c>
      <c r="E10" s="131">
        <f>DERS_PLANI!AN204</f>
        <v>0</v>
      </c>
      <c r="F10" s="131">
        <f>DERS_PLANI!AN216</f>
        <v>0</v>
      </c>
    </row>
    <row r="11" spans="1:6" ht="24" customHeight="1">
      <c r="A11" s="190" t="s">
        <v>701</v>
      </c>
      <c r="B11" s="131">
        <f>DERS_PLANI!AN169</f>
        <v>0</v>
      </c>
      <c r="C11" s="131">
        <f>DERS_PLANI!AN181</f>
        <v>0</v>
      </c>
      <c r="D11" s="131">
        <f>DERS_PLANI!AN193</f>
        <v>0</v>
      </c>
      <c r="E11" s="131">
        <f>DERS_PLANI!AN205</f>
        <v>0</v>
      </c>
      <c r="F11" s="131">
        <f>DERS_PLANI!AN217</f>
        <v>0</v>
      </c>
    </row>
    <row r="12" spans="1:6" ht="24" customHeight="1">
      <c r="A12" s="190" t="s">
        <v>705</v>
      </c>
      <c r="B12" s="131">
        <f>DERS_PLANI!AN170</f>
        <v>0</v>
      </c>
      <c r="C12" s="131">
        <f>DERS_PLANI!AN182</f>
        <v>0</v>
      </c>
      <c r="D12" s="131">
        <f>DERS_PLANI!AN194</f>
        <v>0</v>
      </c>
      <c r="E12" s="131">
        <f>DERS_PLANI!AN206</f>
        <v>0</v>
      </c>
      <c r="F12" s="131">
        <f>DERS_PLANI!AN218</f>
        <v>0</v>
      </c>
    </row>
    <row r="13" spans="1:6" ht="24" customHeight="1">
      <c r="A13" s="190" t="s">
        <v>703</v>
      </c>
      <c r="B13" s="131">
        <f>DERS_PLANI!AN171</f>
        <v>0</v>
      </c>
      <c r="C13" s="131">
        <f>DERS_PLANI!AN183</f>
        <v>0</v>
      </c>
      <c r="D13" s="131">
        <f>DERS_PLANI!AN195</f>
        <v>0</v>
      </c>
      <c r="E13" s="131">
        <f>DERS_PLANI!AN207</f>
        <v>0</v>
      </c>
      <c r="F13" s="131">
        <f>DERS_PLANI!AN219</f>
        <v>0</v>
      </c>
    </row>
    <row r="14" spans="1:6" ht="24" customHeight="1">
      <c r="A14" s="190" t="s">
        <v>704</v>
      </c>
      <c r="B14" s="131">
        <f>DERS_PLANI!AN172</f>
        <v>0</v>
      </c>
      <c r="C14" s="131">
        <f>DERS_PLANI!AN184</f>
        <v>0</v>
      </c>
      <c r="D14" s="131">
        <f>DERS_PLANI!AN196</f>
        <v>0</v>
      </c>
      <c r="E14" s="131">
        <f>DERS_PLANI!AN208</f>
        <v>0</v>
      </c>
      <c r="F14" s="131">
        <f>DERS_PLANI!AN220</f>
        <v>0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333D-D3A7-8C43-9F02-265C206C4A12}">
  <dimension ref="A1:F14"/>
  <sheetViews>
    <sheetView workbookViewId="0">
      <selection activeCell="E11" sqref="E11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716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DERS_PLANI!AM161</f>
        <v>0</v>
      </c>
      <c r="C3" s="131">
        <f>DERS_PLANI!AM173</f>
        <v>0</v>
      </c>
      <c r="D3" s="131">
        <f>DERS_PLANI!AM185</f>
        <v>0</v>
      </c>
      <c r="E3" s="131">
        <f>DERS_PLANI!AM197</f>
        <v>0</v>
      </c>
      <c r="F3" s="131">
        <f>DERS_PLANI!AM209</f>
        <v>0</v>
      </c>
    </row>
    <row r="4" spans="1:6" ht="24" customHeight="1">
      <c r="A4" s="190" t="s">
        <v>694</v>
      </c>
      <c r="B4" s="131">
        <f>DERS_PLANI!AM162</f>
        <v>0</v>
      </c>
      <c r="C4" s="131">
        <f>DERS_PLANI!AM174</f>
        <v>0</v>
      </c>
      <c r="D4" s="131">
        <f>DERS_PLANI!AM186</f>
        <v>0</v>
      </c>
      <c r="E4" s="131">
        <f>DERS_PLANI!AM198</f>
        <v>0</v>
      </c>
      <c r="F4" s="131">
        <f>DERS_PLANI!AM210</f>
        <v>0</v>
      </c>
    </row>
    <row r="5" spans="1:6" ht="24" customHeight="1">
      <c r="A5" s="190" t="s">
        <v>695</v>
      </c>
      <c r="B5" s="131">
        <f>DERS_PLANI!AM163</f>
        <v>0</v>
      </c>
      <c r="C5" s="131">
        <f>DERS_PLANI!AM175</f>
        <v>0</v>
      </c>
      <c r="D5" s="131">
        <f>DERS_PLANI!AM187</f>
        <v>0</v>
      </c>
      <c r="E5" s="131">
        <f>DERS_PLANI!AM199</f>
        <v>0</v>
      </c>
      <c r="F5" s="131">
        <f>DERS_PLANI!AM211</f>
        <v>0</v>
      </c>
    </row>
    <row r="6" spans="1:6" ht="24" customHeight="1">
      <c r="A6" s="190" t="s">
        <v>696</v>
      </c>
      <c r="B6" s="131">
        <f>DERS_PLANI!AM164</f>
        <v>0</v>
      </c>
      <c r="C6" s="131">
        <f>DERS_PLANI!AM176</f>
        <v>0</v>
      </c>
      <c r="D6" s="131">
        <f>DERS_PLANI!AM188</f>
        <v>0</v>
      </c>
      <c r="E6" s="131">
        <f>DERS_PLANI!AM200</f>
        <v>0</v>
      </c>
      <c r="F6" s="131">
        <f>DERS_PLANI!AM212</f>
        <v>0</v>
      </c>
    </row>
    <row r="7" spans="1:6" ht="24" customHeight="1">
      <c r="A7" s="190" t="s">
        <v>697</v>
      </c>
      <c r="B7" s="131">
        <f>DERS_PLANI!AM165</f>
        <v>0</v>
      </c>
      <c r="C7" s="131">
        <f>DERS_PLANI!AM177</f>
        <v>0</v>
      </c>
      <c r="D7" s="131">
        <f>DERS_PLANI!AM189</f>
        <v>0</v>
      </c>
      <c r="E7" s="131">
        <f>DERS_PLANI!AM201</f>
        <v>0</v>
      </c>
      <c r="F7" s="131">
        <f>DERS_PLANI!AM213</f>
        <v>0</v>
      </c>
    </row>
    <row r="8" spans="1:6" ht="24" customHeight="1">
      <c r="A8" s="190" t="s">
        <v>698</v>
      </c>
      <c r="B8" s="131">
        <f>DERS_PLANI!AM166</f>
        <v>0</v>
      </c>
      <c r="C8" s="131">
        <f>DERS_PLANI!AM178</f>
        <v>0</v>
      </c>
      <c r="D8" s="131">
        <f>DERS_PLANI!AM190</f>
        <v>0</v>
      </c>
      <c r="E8" s="131">
        <f>DERS_PLANI!AM202</f>
        <v>0</v>
      </c>
      <c r="F8" s="131">
        <f>DERS_PLANI!AM214</f>
        <v>0</v>
      </c>
    </row>
    <row r="9" spans="1:6" ht="24" customHeight="1">
      <c r="A9" s="190" t="s">
        <v>699</v>
      </c>
      <c r="B9" s="131">
        <f>DERS_PLANI!AM167</f>
        <v>0</v>
      </c>
      <c r="C9" s="131">
        <f>DERS_PLANI!AM179</f>
        <v>0</v>
      </c>
      <c r="D9" s="131">
        <f>DERS_PLANI!AM191</f>
        <v>0</v>
      </c>
      <c r="E9" s="131">
        <f>DERS_PLANI!AM203</f>
        <v>0</v>
      </c>
      <c r="F9" s="131">
        <f>DERS_PLANI!AM215</f>
        <v>0</v>
      </c>
    </row>
    <row r="10" spans="1:6" ht="24" customHeight="1">
      <c r="A10" s="190" t="s">
        <v>700</v>
      </c>
      <c r="B10" s="131">
        <f>DERS_PLANI!AM168</f>
        <v>0</v>
      </c>
      <c r="C10" s="131">
        <f>DERS_PLANI!AM180</f>
        <v>0</v>
      </c>
      <c r="D10" s="131">
        <f>DERS_PLANI!AM192</f>
        <v>0</v>
      </c>
      <c r="E10" s="131">
        <f>DERS_PLANI!AM204</f>
        <v>0</v>
      </c>
      <c r="F10" s="131">
        <f>DERS_PLANI!AM216</f>
        <v>0</v>
      </c>
    </row>
    <row r="11" spans="1:6" ht="24" customHeight="1">
      <c r="A11" s="190" t="s">
        <v>701</v>
      </c>
      <c r="B11" s="131">
        <f>DERS_PLANI!AM169</f>
        <v>0</v>
      </c>
      <c r="C11" s="131">
        <f>DERS_PLANI!AM181</f>
        <v>0</v>
      </c>
      <c r="D11" s="131">
        <f>DERS_PLANI!AM193</f>
        <v>0</v>
      </c>
      <c r="E11" s="131">
        <f>DERS_PLANI!AM205</f>
        <v>0</v>
      </c>
      <c r="F11" s="131">
        <f>DERS_PLANI!AM217</f>
        <v>0</v>
      </c>
    </row>
    <row r="12" spans="1:6" ht="24" customHeight="1">
      <c r="A12" s="190" t="s">
        <v>705</v>
      </c>
      <c r="B12" s="131">
        <f>DERS_PLANI!AM170</f>
        <v>0</v>
      </c>
      <c r="C12" s="131">
        <f>DERS_PLANI!AM182</f>
        <v>0</v>
      </c>
      <c r="D12" s="131">
        <f>DERS_PLANI!AM194</f>
        <v>0</v>
      </c>
      <c r="E12" s="131">
        <f>DERS_PLANI!AM206</f>
        <v>0</v>
      </c>
      <c r="F12" s="131">
        <f>DERS_PLANI!AM218</f>
        <v>0</v>
      </c>
    </row>
    <row r="13" spans="1:6" ht="24" customHeight="1">
      <c r="A13" s="190" t="s">
        <v>703</v>
      </c>
      <c r="B13" s="131">
        <f>DERS_PLANI!AM171</f>
        <v>0</v>
      </c>
      <c r="C13" s="131">
        <f>DERS_PLANI!AM183</f>
        <v>0</v>
      </c>
      <c r="D13" s="131">
        <f>DERS_PLANI!AM195</f>
        <v>0</v>
      </c>
      <c r="E13" s="131">
        <f>DERS_PLANI!AM207</f>
        <v>0</v>
      </c>
      <c r="F13" s="131">
        <f>DERS_PLANI!AM219</f>
        <v>0</v>
      </c>
    </row>
    <row r="14" spans="1:6" ht="24" customHeight="1">
      <c r="A14" s="190" t="s">
        <v>704</v>
      </c>
      <c r="B14" s="131">
        <f>DERS_PLANI!AM172</f>
        <v>0</v>
      </c>
      <c r="C14" s="131">
        <f>DERS_PLANI!AM184</f>
        <v>0</v>
      </c>
      <c r="D14" s="131">
        <f>DERS_PLANI!AM196</f>
        <v>0</v>
      </c>
      <c r="E14" s="131">
        <f>DERS_PLANI!AM208</f>
        <v>0</v>
      </c>
      <c r="F14" s="131">
        <f>DERS_PLANI!AM220</f>
        <v>0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10D-E97D-8F49-89F9-86D0A4E309AE}">
  <dimension ref="A1:F14"/>
  <sheetViews>
    <sheetView topLeftCell="A2" workbookViewId="0">
      <selection activeCell="D9" sqref="D9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717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DERS_PLANI!AL161</f>
        <v>0</v>
      </c>
      <c r="C3" s="131">
        <f>DERS_PLANI!AL173</f>
        <v>0</v>
      </c>
      <c r="D3" s="131">
        <f>DERS_PLANI!AL185</f>
        <v>0</v>
      </c>
      <c r="E3" s="131">
        <f>DERS_PLANI!AL197</f>
        <v>0</v>
      </c>
      <c r="F3" s="131">
        <f>DERS_PLANI!AL209</f>
        <v>0</v>
      </c>
    </row>
    <row r="4" spans="1:6" ht="24" customHeight="1">
      <c r="A4" s="190" t="s">
        <v>694</v>
      </c>
      <c r="B4" s="131">
        <f>DERS_PLANI!AL162</f>
        <v>0</v>
      </c>
      <c r="C4" s="131">
        <f>DERS_PLANI!AL174</f>
        <v>0</v>
      </c>
      <c r="D4" s="131">
        <f>DERS_PLANI!AL186</f>
        <v>0</v>
      </c>
      <c r="E4" s="131">
        <f>DERS_PLANI!AL198</f>
        <v>0</v>
      </c>
      <c r="F4" s="131">
        <f>DERS_PLANI!AL210</f>
        <v>0</v>
      </c>
    </row>
    <row r="5" spans="1:6" ht="24" customHeight="1">
      <c r="A5" s="190" t="s">
        <v>695</v>
      </c>
      <c r="B5" s="131">
        <f>DERS_PLANI!AL163</f>
        <v>0</v>
      </c>
      <c r="C5" s="131">
        <f>DERS_PLANI!AL175</f>
        <v>0</v>
      </c>
      <c r="D5" s="131">
        <f>DERS_PLANI!AL187</f>
        <v>0</v>
      </c>
      <c r="E5" s="131">
        <f>DERS_PLANI!AL199</f>
        <v>0</v>
      </c>
      <c r="F5" s="131">
        <f>DERS_PLANI!AL211</f>
        <v>0</v>
      </c>
    </row>
    <row r="6" spans="1:6" ht="24" customHeight="1">
      <c r="A6" s="190" t="s">
        <v>696</v>
      </c>
      <c r="B6" s="131">
        <f>DERS_PLANI!AL164</f>
        <v>0</v>
      </c>
      <c r="C6" s="131">
        <f>DERS_PLANI!AL176</f>
        <v>0</v>
      </c>
      <c r="D6" s="131">
        <f>DERS_PLANI!AL188</f>
        <v>0</v>
      </c>
      <c r="E6" s="131">
        <f>DERS_PLANI!AL200</f>
        <v>0</v>
      </c>
      <c r="F6" s="131">
        <f>DERS_PLANI!AL212</f>
        <v>0</v>
      </c>
    </row>
    <row r="7" spans="1:6" ht="24" customHeight="1">
      <c r="A7" s="190" t="s">
        <v>697</v>
      </c>
      <c r="B7" s="131">
        <f>DERS_PLANI!AL165</f>
        <v>0</v>
      </c>
      <c r="C7" s="131">
        <f>DERS_PLANI!AL177</f>
        <v>0</v>
      </c>
      <c r="D7" s="131">
        <f>DERS_PLANI!AL189</f>
        <v>0</v>
      </c>
      <c r="E7" s="131">
        <f>DERS_PLANI!AL201</f>
        <v>0</v>
      </c>
      <c r="F7" s="131">
        <f>DERS_PLANI!AL213</f>
        <v>0</v>
      </c>
    </row>
    <row r="8" spans="1:6" ht="24" customHeight="1">
      <c r="A8" s="190" t="s">
        <v>698</v>
      </c>
      <c r="B8" s="131">
        <f>DERS_PLANI!AL166</f>
        <v>0</v>
      </c>
      <c r="C8" s="131">
        <f>DERS_PLANI!AL178</f>
        <v>0</v>
      </c>
      <c r="D8" s="131">
        <f>DERS_PLANI!AL190</f>
        <v>0</v>
      </c>
      <c r="E8" s="131">
        <f>DERS_PLANI!AL202</f>
        <v>0</v>
      </c>
      <c r="F8" s="131">
        <f>DERS_PLANI!AL214</f>
        <v>0</v>
      </c>
    </row>
    <row r="9" spans="1:6" ht="24" customHeight="1">
      <c r="A9" s="190" t="s">
        <v>699</v>
      </c>
      <c r="B9" s="131">
        <f>DERS_PLANI!AL167</f>
        <v>0</v>
      </c>
      <c r="C9" s="131">
        <f>DERS_PLANI!AL179</f>
        <v>0</v>
      </c>
      <c r="D9" s="131">
        <f>DERS_PLANI!AL191</f>
        <v>0</v>
      </c>
      <c r="E9" s="131">
        <f>DERS_PLANI!AL203</f>
        <v>0</v>
      </c>
      <c r="F9" s="131">
        <f>DERS_PLANI!AL215</f>
        <v>0</v>
      </c>
    </row>
    <row r="10" spans="1:6" ht="24" customHeight="1">
      <c r="A10" s="190" t="s">
        <v>700</v>
      </c>
      <c r="B10" s="131">
        <f>DERS_PLANI!AL168</f>
        <v>0</v>
      </c>
      <c r="C10" s="131">
        <f>DERS_PLANI!AL180</f>
        <v>0</v>
      </c>
      <c r="D10" s="131">
        <f>DERS_PLANI!AL192</f>
        <v>0</v>
      </c>
      <c r="E10" s="131">
        <f>DERS_PLANI!AL204</f>
        <v>0</v>
      </c>
      <c r="F10" s="131">
        <f>DERS_PLANI!AL216</f>
        <v>0</v>
      </c>
    </row>
    <row r="11" spans="1:6" ht="24" customHeight="1">
      <c r="A11" s="190" t="s">
        <v>701</v>
      </c>
      <c r="B11" s="131">
        <f>DERS_PLANI!AL169</f>
        <v>0</v>
      </c>
      <c r="C11" s="131">
        <f>DERS_PLANI!AL181</f>
        <v>0</v>
      </c>
      <c r="D11" s="131">
        <f>DERS_PLANI!AL193</f>
        <v>0</v>
      </c>
      <c r="E11" s="131">
        <f>DERS_PLANI!AL205</f>
        <v>0</v>
      </c>
      <c r="F11" s="131">
        <f>DERS_PLANI!AL217</f>
        <v>0</v>
      </c>
    </row>
    <row r="12" spans="1:6" ht="24" customHeight="1">
      <c r="A12" s="190" t="s">
        <v>705</v>
      </c>
      <c r="B12" s="131">
        <f>DERS_PLANI!AL170</f>
        <v>0</v>
      </c>
      <c r="C12" s="131">
        <f>DERS_PLANI!AL182</f>
        <v>0</v>
      </c>
      <c r="D12" s="131">
        <f>DERS_PLANI!AL194</f>
        <v>0</v>
      </c>
      <c r="E12" s="131">
        <f>DERS_PLANI!AL206</f>
        <v>0</v>
      </c>
      <c r="F12" s="131">
        <f>DERS_PLANI!AL218</f>
        <v>0</v>
      </c>
    </row>
    <row r="13" spans="1:6" ht="24" customHeight="1">
      <c r="A13" s="190" t="s">
        <v>703</v>
      </c>
      <c r="B13" s="131">
        <f>DERS_PLANI!AL171</f>
        <v>0</v>
      </c>
      <c r="C13" s="131">
        <f>DERS_PLANI!AL183</f>
        <v>0</v>
      </c>
      <c r="D13" s="131">
        <f>DERS_PLANI!AL195</f>
        <v>0</v>
      </c>
      <c r="E13" s="131">
        <f>DERS_PLANI!AL207</f>
        <v>0</v>
      </c>
      <c r="F13" s="131">
        <f>DERS_PLANI!AL219</f>
        <v>0</v>
      </c>
    </row>
    <row r="14" spans="1:6" ht="24" customHeight="1">
      <c r="A14" s="190" t="s">
        <v>704</v>
      </c>
      <c r="B14" s="131">
        <f>DERS_PLANI!AL172</f>
        <v>0</v>
      </c>
      <c r="C14" s="131">
        <f>DERS_PLANI!AL184</f>
        <v>0</v>
      </c>
      <c r="D14" s="131">
        <f>DERS_PLANI!AL196</f>
        <v>0</v>
      </c>
      <c r="E14" s="131">
        <f>DERS_PLANI!AL208</f>
        <v>0</v>
      </c>
      <c r="F14" s="131">
        <f>DERS_PLANI!AL220</f>
        <v>0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DE40-8003-F942-B192-35250C52E07E}">
  <dimension ref="A1:F14"/>
  <sheetViews>
    <sheetView topLeftCell="A2" workbookViewId="0">
      <selection activeCell="D9" sqref="D9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718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DERS_PLANI!AK161</f>
        <v>0</v>
      </c>
      <c r="C3" s="131">
        <f>DERS_PLANI!AK173</f>
        <v>0</v>
      </c>
      <c r="D3" s="131">
        <f>DERS_PLANI!AK185</f>
        <v>0</v>
      </c>
      <c r="E3" s="131">
        <f>DERS_PLANI!AK197</f>
        <v>0</v>
      </c>
      <c r="F3" s="131">
        <f>DERS_PLANI!AK209</f>
        <v>0</v>
      </c>
    </row>
    <row r="4" spans="1:6" ht="24" customHeight="1">
      <c r="A4" s="190" t="s">
        <v>694</v>
      </c>
      <c r="B4" s="131">
        <f>DERS_PLANI!AK162</f>
        <v>0</v>
      </c>
      <c r="C4" s="131">
        <f>DERS_PLANI!AK174</f>
        <v>0</v>
      </c>
      <c r="D4" s="131">
        <f>DERS_PLANI!AK186</f>
        <v>0</v>
      </c>
      <c r="E4" s="131">
        <f>DERS_PLANI!AK198</f>
        <v>0</v>
      </c>
      <c r="F4" s="131">
        <f>DERS_PLANI!AK210</f>
        <v>0</v>
      </c>
    </row>
    <row r="5" spans="1:6" ht="24" customHeight="1">
      <c r="A5" s="190" t="s">
        <v>695</v>
      </c>
      <c r="B5" s="131">
        <f>DERS_PLANI!AK163</f>
        <v>0</v>
      </c>
      <c r="C5" s="131">
        <f>DERS_PLANI!AK175</f>
        <v>0</v>
      </c>
      <c r="D5" s="131">
        <f>DERS_PLANI!AK187</f>
        <v>0</v>
      </c>
      <c r="E5" s="131">
        <f>DERS_PLANI!AK199</f>
        <v>0</v>
      </c>
      <c r="F5" s="131">
        <f>DERS_PLANI!AK211</f>
        <v>0</v>
      </c>
    </row>
    <row r="6" spans="1:6" ht="24" customHeight="1">
      <c r="A6" s="190" t="s">
        <v>696</v>
      </c>
      <c r="B6" s="131">
        <f>DERS_PLANI!AK164</f>
        <v>0</v>
      </c>
      <c r="C6" s="131">
        <f>DERS_PLANI!AK176</f>
        <v>0</v>
      </c>
      <c r="D6" s="131">
        <f>DERS_PLANI!AK188</f>
        <v>0</v>
      </c>
      <c r="E6" s="131">
        <f>DERS_PLANI!AK200</f>
        <v>0</v>
      </c>
      <c r="F6" s="131">
        <f>DERS_PLANI!AK212</f>
        <v>0</v>
      </c>
    </row>
    <row r="7" spans="1:6" ht="24" customHeight="1">
      <c r="A7" s="190" t="s">
        <v>697</v>
      </c>
      <c r="B7" s="131">
        <f>DERS_PLANI!AK165</f>
        <v>0</v>
      </c>
      <c r="C7" s="131">
        <f>DERS_PLANI!AK177</f>
        <v>0</v>
      </c>
      <c r="D7" s="131">
        <f>DERS_PLANI!AK189</f>
        <v>0</v>
      </c>
      <c r="E7" s="131">
        <f>DERS_PLANI!AK201</f>
        <v>0</v>
      </c>
      <c r="F7" s="131">
        <f>DERS_PLANI!AK213</f>
        <v>0</v>
      </c>
    </row>
    <row r="8" spans="1:6" ht="24" customHeight="1">
      <c r="A8" s="190" t="s">
        <v>698</v>
      </c>
      <c r="B8" s="131">
        <f>DERS_PLANI!AK166</f>
        <v>0</v>
      </c>
      <c r="C8" s="131">
        <f>DERS_PLANI!AK178</f>
        <v>0</v>
      </c>
      <c r="D8" s="131">
        <f>DERS_PLANI!AK190</f>
        <v>0</v>
      </c>
      <c r="E8" s="131">
        <f>DERS_PLANI!AK202</f>
        <v>0</v>
      </c>
      <c r="F8" s="131">
        <f>DERS_PLANI!AK214</f>
        <v>0</v>
      </c>
    </row>
    <row r="9" spans="1:6" ht="24" customHeight="1">
      <c r="A9" s="190" t="s">
        <v>699</v>
      </c>
      <c r="B9" s="131">
        <f>DERS_PLANI!AK167</f>
        <v>0</v>
      </c>
      <c r="C9" s="131">
        <f>DERS_PLANI!AK179</f>
        <v>0</v>
      </c>
      <c r="D9" s="131">
        <f>DERS_PLANI!AK191</f>
        <v>0</v>
      </c>
      <c r="E9" s="131">
        <f>DERS_PLANI!AK203</f>
        <v>0</v>
      </c>
      <c r="F9" s="131">
        <f>DERS_PLANI!AK215</f>
        <v>0</v>
      </c>
    </row>
    <row r="10" spans="1:6" ht="24" customHeight="1">
      <c r="A10" s="190" t="s">
        <v>700</v>
      </c>
      <c r="B10" s="131">
        <f>DERS_PLANI!AK168</f>
        <v>0</v>
      </c>
      <c r="C10" s="131">
        <f>DERS_PLANI!AK180</f>
        <v>0</v>
      </c>
      <c r="D10" s="131">
        <f>DERS_PLANI!AK192</f>
        <v>0</v>
      </c>
      <c r="E10" s="131">
        <f>DERS_PLANI!AK204</f>
        <v>0</v>
      </c>
      <c r="F10" s="131">
        <f>DERS_PLANI!AK216</f>
        <v>0</v>
      </c>
    </row>
    <row r="11" spans="1:6" ht="24" customHeight="1">
      <c r="A11" s="190" t="s">
        <v>701</v>
      </c>
      <c r="B11" s="131">
        <f>DERS_PLANI!AK169</f>
        <v>0</v>
      </c>
      <c r="C11" s="131">
        <f>DERS_PLANI!AK181</f>
        <v>0</v>
      </c>
      <c r="D11" s="131">
        <f>DERS_PLANI!AK193</f>
        <v>0</v>
      </c>
      <c r="E11" s="131">
        <f>DERS_PLANI!AK205</f>
        <v>0</v>
      </c>
      <c r="F11" s="131">
        <f>DERS_PLANI!AK217</f>
        <v>0</v>
      </c>
    </row>
    <row r="12" spans="1:6" ht="24" customHeight="1">
      <c r="A12" s="190" t="s">
        <v>705</v>
      </c>
      <c r="B12" s="131">
        <f>DERS_PLANI!AK170</f>
        <v>0</v>
      </c>
      <c r="C12" s="131">
        <f>DERS_PLANI!AK182</f>
        <v>0</v>
      </c>
      <c r="D12" s="131">
        <f>DERS_PLANI!AK194</f>
        <v>0</v>
      </c>
      <c r="E12" s="131">
        <f>DERS_PLANI!AK206</f>
        <v>0</v>
      </c>
      <c r="F12" s="131">
        <f>DERS_PLANI!AK218</f>
        <v>0</v>
      </c>
    </row>
    <row r="13" spans="1:6" ht="24" customHeight="1">
      <c r="A13" s="190" t="s">
        <v>703</v>
      </c>
      <c r="B13" s="131">
        <f>DERS_PLANI!AK171</f>
        <v>0</v>
      </c>
      <c r="C13" s="131">
        <f>DERS_PLANI!AK183</f>
        <v>0</v>
      </c>
      <c r="D13" s="131">
        <f>DERS_PLANI!AK195</f>
        <v>0</v>
      </c>
      <c r="E13" s="131">
        <f>DERS_PLANI!AK207</f>
        <v>0</v>
      </c>
      <c r="F13" s="131">
        <f>DERS_PLANI!AK219</f>
        <v>0</v>
      </c>
    </row>
    <row r="14" spans="1:6" ht="24" customHeight="1">
      <c r="A14" s="190" t="s">
        <v>704</v>
      </c>
      <c r="B14" s="131">
        <f>DERS_PLANI!AK172</f>
        <v>0</v>
      </c>
      <c r="C14" s="131">
        <f>DERS_PLANI!AK184</f>
        <v>0</v>
      </c>
      <c r="D14" s="131">
        <f>DERS_PLANI!AK196</f>
        <v>0</v>
      </c>
      <c r="E14" s="131">
        <f>DERS_PLANI!AK208</f>
        <v>0</v>
      </c>
      <c r="F14" s="131">
        <f>DERS_PLANI!AK220</f>
        <v>0</v>
      </c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C7F2-D065-2541-BB06-E955D962EB73}">
  <dimension ref="A1:F14"/>
  <sheetViews>
    <sheetView workbookViewId="0">
      <selection activeCell="C3" sqref="C3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719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>
        <f>DERS_PLANI!AJ161</f>
        <v>0</v>
      </c>
      <c r="C3" s="165" t="str">
        <f>DERS_PLANI!AJ173</f>
        <v>MAT 224 Doğrusal Cebir ve Diferansiyel Denklemler (Mesut Altınok)</v>
      </c>
      <c r="D3" s="165">
        <f>DERS_PLANI!AJ185</f>
        <v>0</v>
      </c>
      <c r="E3" s="165">
        <f>DERS_PLANI!AJ197</f>
        <v>0</v>
      </c>
      <c r="F3" s="165">
        <f>DERS_PLANI!AJ209</f>
        <v>0</v>
      </c>
    </row>
    <row r="4" spans="1:6" ht="24" customHeight="1">
      <c r="A4" s="190" t="s">
        <v>694</v>
      </c>
      <c r="B4" s="165">
        <f>DERS_PLANI!AJ162</f>
        <v>0</v>
      </c>
      <c r="C4" s="165" t="str">
        <f>DERS_PLANI!AJ174</f>
        <v>MAT 224 Doğrusal Cebir ve Diferansiyel Denklemler (Mesut Altınok)</v>
      </c>
      <c r="D4" s="165">
        <f>DERS_PLANI!AJ186</f>
        <v>0</v>
      </c>
      <c r="E4" s="165">
        <f>DERS_PLANI!AJ198</f>
        <v>0</v>
      </c>
      <c r="F4" s="165">
        <f>DERS_PLANI!AJ210</f>
        <v>0</v>
      </c>
    </row>
    <row r="5" spans="1:6" ht="24" customHeight="1">
      <c r="A5" s="190" t="s">
        <v>695</v>
      </c>
      <c r="B5" s="165">
        <f>DERS_PLANI!AJ163</f>
        <v>0</v>
      </c>
      <c r="C5" s="165" t="str">
        <f>DERS_PLANI!AJ175</f>
        <v>MAT 224 Doğrusal Cebir ve Diferansiyel Denklemler (Mesut Altınok)</v>
      </c>
      <c r="D5" s="165">
        <f>DERS_PLANI!AJ187</f>
        <v>0</v>
      </c>
      <c r="E5" s="165" t="str">
        <f>DERS_PLANI!AJ199</f>
        <v>ING 202 -  01</v>
      </c>
      <c r="F5" s="165">
        <f>DERS_PLANI!AJ211</f>
        <v>0</v>
      </c>
    </row>
    <row r="6" spans="1:6" ht="24" customHeight="1">
      <c r="A6" s="190" t="s">
        <v>696</v>
      </c>
      <c r="B6" s="165" t="str">
        <f>DERS_PLANI!AJ164</f>
        <v>MAT 206 Olasılık Teorisi ve İstatistik (Mesut Altınok)</v>
      </c>
      <c r="C6" s="165" t="str">
        <f>DERS_PLANI!AJ176</f>
        <v>MYO - ETP 104 DİJİTAL PAZARLAMA</v>
      </c>
      <c r="D6" s="165">
        <f>DERS_PLANI!AJ188</f>
        <v>0</v>
      </c>
      <c r="E6" s="165" t="str">
        <f>DERS_PLANI!AJ200</f>
        <v>ING 202 -  01</v>
      </c>
      <c r="F6" s="165">
        <f>DERS_PLANI!AJ212</f>
        <v>0</v>
      </c>
    </row>
    <row r="7" spans="1:6" ht="24" customHeight="1">
      <c r="A7" s="190" t="s">
        <v>697</v>
      </c>
      <c r="B7" s="165" t="str">
        <f>DERS_PLANI!AJ165</f>
        <v>MAT 206 Olasılık Teorisi ve İstatistik (Mesut Altınok)</v>
      </c>
      <c r="C7" s="165" t="str">
        <f>DERS_PLANI!AJ177</f>
        <v>MYO - ETP 104 DİJİTAL PAZARLAMA</v>
      </c>
      <c r="D7" s="165">
        <f>DERS_PLANI!AJ189</f>
        <v>0</v>
      </c>
      <c r="E7" s="165">
        <f>DERS_PLANI!AJ201</f>
        <v>0</v>
      </c>
      <c r="F7" s="165">
        <f>DERS_PLANI!AJ213</f>
        <v>0</v>
      </c>
    </row>
    <row r="8" spans="1:6" ht="24" customHeight="1">
      <c r="A8" s="190" t="s">
        <v>698</v>
      </c>
      <c r="B8" s="165" t="str">
        <f>DERS_PLANI!AJ166</f>
        <v>MAT 206 Olasılık Teorisi ve İstatistik (Mesut Altınok)</v>
      </c>
      <c r="C8" s="165" t="str">
        <f>DERS_PLANI!AJ178</f>
        <v>MYO - ETP 104 DİJİTAL PAZARLAMA</v>
      </c>
      <c r="D8" s="165">
        <f>DERS_PLANI!AJ190</f>
        <v>0</v>
      </c>
      <c r="E8" s="165">
        <f>DERS_PLANI!AJ202</f>
        <v>0</v>
      </c>
      <c r="F8" s="165">
        <f>DERS_PLANI!AJ214</f>
        <v>0</v>
      </c>
    </row>
    <row r="9" spans="1:6" ht="24" customHeight="1">
      <c r="A9" s="190" t="s">
        <v>699</v>
      </c>
      <c r="B9" s="165">
        <f>DERS_PLANI!AJ167</f>
        <v>0</v>
      </c>
      <c r="C9" s="165" t="e">
        <f>DERS_PLANI!#REF!</f>
        <v>#REF!</v>
      </c>
      <c r="D9" s="165">
        <f>DERS_PLANI!AJ191</f>
        <v>0</v>
      </c>
      <c r="E9" s="165">
        <f>DERS_PLANI!AJ203</f>
        <v>0</v>
      </c>
      <c r="F9" s="165">
        <f>DERS_PLANI!AJ215</f>
        <v>0</v>
      </c>
    </row>
    <row r="10" spans="1:6" ht="24" customHeight="1">
      <c r="A10" s="190" t="s">
        <v>700</v>
      </c>
      <c r="B10" s="165">
        <f>DERS_PLANI!AJ168</f>
        <v>0</v>
      </c>
      <c r="C10" s="165" t="e">
        <f>DERS_PLANI!#REF!</f>
        <v>#REF!</v>
      </c>
      <c r="D10" s="165">
        <f>DERS_PLANI!AJ192</f>
        <v>0</v>
      </c>
      <c r="E10" s="165">
        <f>DERS_PLANI!AJ204</f>
        <v>0</v>
      </c>
      <c r="F10" s="165">
        <f>DERS_PLANI!AJ216</f>
        <v>0</v>
      </c>
    </row>
    <row r="11" spans="1:6" ht="24" customHeight="1">
      <c r="A11" s="190" t="s">
        <v>701</v>
      </c>
      <c r="B11" s="165">
        <f>DERS_PLANI!AJ169</f>
        <v>0</v>
      </c>
      <c r="C11" s="165" t="e">
        <f>DERS_PLANI!#REF!</f>
        <v>#REF!</v>
      </c>
      <c r="D11" s="165">
        <f>DERS_PLANI!AJ193</f>
        <v>0</v>
      </c>
      <c r="E11" s="165">
        <f>DERS_PLANI!AJ205</f>
        <v>0</v>
      </c>
      <c r="F11" s="165">
        <f>DERS_PLANI!AJ217</f>
        <v>0</v>
      </c>
    </row>
    <row r="12" spans="1:6" ht="24" customHeight="1">
      <c r="A12" s="190" t="s">
        <v>705</v>
      </c>
      <c r="B12" s="165">
        <f>DERS_PLANI!AJ170</f>
        <v>0</v>
      </c>
      <c r="C12" s="165">
        <f>DERS_PLANI!AJ182</f>
        <v>0</v>
      </c>
      <c r="D12" s="165">
        <f>DERS_PLANI!AJ194</f>
        <v>0</v>
      </c>
      <c r="E12" s="165">
        <f>DERS_PLANI!AJ206</f>
        <v>0</v>
      </c>
      <c r="F12" s="165">
        <f>DERS_PLANI!AJ218</f>
        <v>0</v>
      </c>
    </row>
    <row r="13" spans="1:6" ht="24" customHeight="1">
      <c r="A13" s="190" t="s">
        <v>703</v>
      </c>
      <c r="B13" s="165">
        <f>DERS_PLANI!AJ171</f>
        <v>0</v>
      </c>
      <c r="C13" s="165">
        <f>DERS_PLANI!AJ183</f>
        <v>0</v>
      </c>
      <c r="D13" s="165">
        <f>DERS_PLANI!AJ195</f>
        <v>0</v>
      </c>
      <c r="E13" s="165">
        <f>DERS_PLANI!AJ207</f>
        <v>0</v>
      </c>
      <c r="F13" s="165">
        <f>DERS_PLANI!AJ219</f>
        <v>0</v>
      </c>
    </row>
    <row r="14" spans="1:6" ht="24" customHeight="1">
      <c r="A14" s="190" t="s">
        <v>704</v>
      </c>
      <c r="B14" s="165">
        <f>DERS_PLANI!AJ172</f>
        <v>0</v>
      </c>
      <c r="C14" s="165">
        <f>DERS_PLANI!AJ184</f>
        <v>0</v>
      </c>
      <c r="D14" s="165">
        <f>DERS_PLANI!AJ196</f>
        <v>0</v>
      </c>
      <c r="E14" s="165">
        <f>DERS_PLANI!AJ208</f>
        <v>0</v>
      </c>
      <c r="F14" s="165">
        <f>DERS_PLANI!AJ220</f>
        <v>0</v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71B8-5048-D248-ABEF-7C8DBF7D9E43}">
  <dimension ref="A1:F14"/>
  <sheetViews>
    <sheetView workbookViewId="0">
      <selection activeCell="D7" sqref="D7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720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>
        <f>DERS_PLANI!AI161</f>
        <v>0</v>
      </c>
      <c r="C3" s="165">
        <f>DERS_PLANI!AI173</f>
        <v>0</v>
      </c>
      <c r="D3" s="165">
        <f>DERS_PLANI!AI185</f>
        <v>0</v>
      </c>
      <c r="E3" s="165">
        <f>DERS_PLANI!AI197</f>
        <v>0</v>
      </c>
      <c r="F3" s="165" t="str">
        <f>DERS_PLANI!AI209</f>
        <v>MYO - BGT204	Bilişim Hukuku</v>
      </c>
    </row>
    <row r="4" spans="1:6" ht="24" customHeight="1">
      <c r="A4" s="190" t="s">
        <v>694</v>
      </c>
      <c r="B4" s="165" t="str">
        <f>DERS_PLANI!AI162</f>
        <v>ENG 202 - 10</v>
      </c>
      <c r="C4" s="165" t="str">
        <f>DERS_PLANI!AI174</f>
        <v>ENG 102 - 8</v>
      </c>
      <c r="D4" s="165" t="str">
        <f>DERS_PLANI!AI186</f>
        <v>MAT 102 (Teorik) - Sec 1(Mesut Altunok)</v>
      </c>
      <c r="E4" s="165">
        <f>DERS_PLANI!AI198</f>
        <v>0</v>
      </c>
      <c r="F4" s="165" t="str">
        <f>DERS_PLANI!AI210</f>
        <v>MYO - BGT204	Bilişim Hukuku</v>
      </c>
    </row>
    <row r="5" spans="1:6" ht="24" customHeight="1">
      <c r="A5" s="190" t="s">
        <v>695</v>
      </c>
      <c r="B5" s="165" t="str">
        <f>DERS_PLANI!AI163</f>
        <v>ENG 202 - 10</v>
      </c>
      <c r="C5" s="165" t="str">
        <f>DERS_PLANI!AI175</f>
        <v>ENG 102 - 8</v>
      </c>
      <c r="D5" s="165" t="str">
        <f>DERS_PLANI!AI187</f>
        <v>MAT 102 (Teorik) - Sec 1(Mesut Altunok)</v>
      </c>
      <c r="E5" s="165">
        <f>DERS_PLANI!AI199</f>
        <v>0</v>
      </c>
      <c r="F5" s="165" t="str">
        <f>DERS_PLANI!AI211</f>
        <v>MYO - BGT204	Bilişim Hukuku</v>
      </c>
    </row>
    <row r="6" spans="1:6" ht="24" customHeight="1">
      <c r="A6" s="190" t="s">
        <v>696</v>
      </c>
      <c r="B6" s="165" t="str">
        <f>DERS_PLANI!AI164</f>
        <v>EEE 236 (Teorik) - Sec 1 (Parisa Akar)</v>
      </c>
      <c r="C6" s="165" t="str">
        <f>DERS_PLANI!AI176</f>
        <v>ENG 202 - 11</v>
      </c>
      <c r="D6" s="165">
        <f>DERS_PLANI!AI188</f>
        <v>0</v>
      </c>
      <c r="E6" s="165">
        <f>DERS_PLANI!AI200</f>
        <v>0</v>
      </c>
      <c r="F6" s="165">
        <f>DERS_PLANI!AI212</f>
        <v>0</v>
      </c>
    </row>
    <row r="7" spans="1:6" ht="24" customHeight="1">
      <c r="A7" s="190" t="s">
        <v>697</v>
      </c>
      <c r="B7" s="165" t="str">
        <f>DERS_PLANI!AI165</f>
        <v>EEE 236 (Teorik) - Sec 1 (Parisa Akar)</v>
      </c>
      <c r="C7" s="165" t="str">
        <f>DERS_PLANI!AI177</f>
        <v>ENG 202 - 11</v>
      </c>
      <c r="D7" s="165">
        <f>DERS_PLANI!AI189</f>
        <v>0</v>
      </c>
      <c r="E7" s="165" t="str">
        <f>DERS_PLANI!AI201</f>
        <v>ENG 102 - 9</v>
      </c>
      <c r="F7" s="165">
        <f>DERS_PLANI!AI213</f>
        <v>0</v>
      </c>
    </row>
    <row r="8" spans="1:6" ht="24" customHeight="1">
      <c r="A8" s="190" t="s">
        <v>698</v>
      </c>
      <c r="B8" s="165" t="str">
        <f>DERS_PLANI!AI166</f>
        <v>EEE 236 (Teorik) - Sec 1 (Parisa Akar)</v>
      </c>
      <c r="C8" s="165">
        <f>DERS_PLANI!AI178</f>
        <v>0</v>
      </c>
      <c r="D8" s="165">
        <f>DERS_PLANI!AI190</f>
        <v>0</v>
      </c>
      <c r="E8" s="165" t="str">
        <f>DERS_PLANI!AI202</f>
        <v>ENG 102 - 9</v>
      </c>
      <c r="F8" s="165">
        <f>DERS_PLANI!AI214</f>
        <v>0</v>
      </c>
    </row>
    <row r="9" spans="1:6" ht="24" customHeight="1">
      <c r="A9" s="190" t="s">
        <v>699</v>
      </c>
      <c r="B9" s="165" t="str">
        <f>DERS_PLANI!AI167</f>
        <v>MATH 206 (Teorik) - Sec 1 (Benhür Satır)</v>
      </c>
      <c r="C9" s="165" t="str">
        <f>DERS_PLANI!AI179</f>
        <v>BM 324 (Teorik) - Sec 1 (Yüksel Arslan)</v>
      </c>
      <c r="D9" s="165" t="str">
        <f>DERS_PLANI!AI191</f>
        <v>ENG 202 - 13</v>
      </c>
      <c r="E9" s="165" t="str">
        <f>DERS_PLANI!AI203</f>
        <v>ENG 302 - 11</v>
      </c>
      <c r="F9" s="165">
        <f>DERS_PLANI!AI215</f>
        <v>0</v>
      </c>
    </row>
    <row r="10" spans="1:6" ht="24" customHeight="1">
      <c r="A10" s="190" t="s">
        <v>700</v>
      </c>
      <c r="B10" s="165" t="str">
        <f>DERS_PLANI!AI168</f>
        <v>MATH 206 (Teorik) - Sec 1 (Benhür Satır)</v>
      </c>
      <c r="C10" s="165" t="str">
        <f>DERS_PLANI!AI180</f>
        <v>BM 324 (Teorik) - Sec 1 (Yüksel Arslan)</v>
      </c>
      <c r="D10" s="165" t="str">
        <f>DERS_PLANI!AI192</f>
        <v>ENG 202 - 13</v>
      </c>
      <c r="E10" s="165" t="str">
        <f>DERS_PLANI!AI204</f>
        <v>ENG 302 - 11</v>
      </c>
      <c r="F10" s="165">
        <f>DERS_PLANI!AI216</f>
        <v>0</v>
      </c>
    </row>
    <row r="11" spans="1:6" ht="24" customHeight="1">
      <c r="A11" s="190" t="s">
        <v>701</v>
      </c>
      <c r="B11" s="165" t="str">
        <f>DERS_PLANI!AI169</f>
        <v>MATH 206 (Teorik) - Sec 1 (Benhür Satır)</v>
      </c>
      <c r="C11" s="165" t="str">
        <f>DERS_PLANI!AI181</f>
        <v>BM 324 (Teorik) - Sec 1 (Yüksel Arslan)</v>
      </c>
      <c r="D11" s="165">
        <f>DERS_PLANI!AI193</f>
        <v>0</v>
      </c>
      <c r="E11" s="165">
        <f>DERS_PLANI!AI205</f>
        <v>0</v>
      </c>
      <c r="F11" s="165">
        <f>DERS_PLANI!AI217</f>
        <v>0</v>
      </c>
    </row>
    <row r="12" spans="1:6" ht="24" customHeight="1">
      <c r="A12" s="190" t="s">
        <v>705</v>
      </c>
      <c r="B12" s="165">
        <f>DERS_PLANI!AI170</f>
        <v>0</v>
      </c>
      <c r="C12" s="165">
        <f>DERS_PLANI!AI182</f>
        <v>0</v>
      </c>
      <c r="D12" s="165">
        <f>DERS_PLANI!AI194</f>
        <v>0</v>
      </c>
      <c r="E12" s="165">
        <f>DERS_PLANI!AI206</f>
        <v>0</v>
      </c>
      <c r="F12" s="165">
        <f>DERS_PLANI!AI218</f>
        <v>0</v>
      </c>
    </row>
    <row r="13" spans="1:6" ht="24" customHeight="1">
      <c r="A13" s="190" t="s">
        <v>703</v>
      </c>
      <c r="B13" s="165">
        <f>DERS_PLANI!AI171</f>
        <v>0</v>
      </c>
      <c r="C13" s="165">
        <f>DERS_PLANI!AI183</f>
        <v>0</v>
      </c>
      <c r="D13" s="165">
        <f>DERS_PLANI!AI195</f>
        <v>0</v>
      </c>
      <c r="E13" s="165">
        <f>DERS_PLANI!AI207</f>
        <v>0</v>
      </c>
      <c r="F13" s="165">
        <f>DERS_PLANI!AI219</f>
        <v>0</v>
      </c>
    </row>
    <row r="14" spans="1:6" ht="24" customHeight="1">
      <c r="A14" s="190" t="s">
        <v>704</v>
      </c>
      <c r="B14" s="165">
        <f>DERS_PLANI!AI172</f>
        <v>0</v>
      </c>
      <c r="C14" s="165">
        <f>DERS_PLANI!AI184</f>
        <v>0</v>
      </c>
      <c r="D14" s="165">
        <f>DERS_PLANI!AI196</f>
        <v>0</v>
      </c>
      <c r="E14" s="165">
        <f>DERS_PLANI!AI208</f>
        <v>0</v>
      </c>
      <c r="F14" s="165">
        <f>DERS_PLANI!AI220</f>
        <v>0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D8E9-807F-804F-8C81-CF256C45CD16}">
  <dimension ref="A1:F14"/>
  <sheetViews>
    <sheetView topLeftCell="A2" workbookViewId="0">
      <selection activeCell="D5" sqref="D5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41.25" customHeight="1">
      <c r="A1" s="359" t="s">
        <v>721</v>
      </c>
      <c r="B1" s="354"/>
      <c r="C1" s="354"/>
      <c r="D1" s="354"/>
      <c r="E1" s="354"/>
      <c r="F1" s="355"/>
    </row>
    <row r="2" spans="1:6" ht="21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4" t="s">
        <v>722</v>
      </c>
      <c r="B3" s="165" t="str">
        <f>DERS_PLANI!AH161</f>
        <v>PSİ 221</v>
      </c>
      <c r="C3" s="165" t="str">
        <f>DERS_PLANI!AH173</f>
        <v>HUK414</v>
      </c>
      <c r="D3" s="165" t="str">
        <f>DERS_PLANI!AH185</f>
        <v>HUK408</v>
      </c>
      <c r="E3" s="165">
        <f>DERS_PLANI!AH197</f>
        <v>0</v>
      </c>
      <c r="F3" s="165" t="str">
        <f>DERS_PLANI!AH209</f>
        <v>PSİ 104</v>
      </c>
    </row>
    <row r="4" spans="1:6" ht="24" customHeight="1">
      <c r="A4" s="194" t="s">
        <v>723</v>
      </c>
      <c r="B4" s="165" t="str">
        <f>DERS_PLANI!AH162</f>
        <v>PSİ 221</v>
      </c>
      <c r="C4" s="165" t="str">
        <f>DERS_PLANI!AH174</f>
        <v>HUK414</v>
      </c>
      <c r="D4" s="165" t="str">
        <f>DERS_PLANI!AH186</f>
        <v>HUK408</v>
      </c>
      <c r="E4" s="165" t="str">
        <f>DERS_PLANI!AH198</f>
        <v xml:space="preserve">ENG 102 -01 (PSY) </v>
      </c>
      <c r="F4" s="165" t="str">
        <f>DERS_PLANI!AH210</f>
        <v>PSİ 104</v>
      </c>
    </row>
    <row r="5" spans="1:6" ht="24" customHeight="1">
      <c r="A5" s="194" t="s">
        <v>724</v>
      </c>
      <c r="B5" s="165" t="str">
        <f>DERS_PLANI!AH163</f>
        <v>PSİ 221</v>
      </c>
      <c r="C5" s="165" t="str">
        <f>DERS_PLANI!AH175</f>
        <v>HUK414</v>
      </c>
      <c r="D5" s="165" t="str">
        <f>DERS_PLANI!AH187</f>
        <v>HUK408</v>
      </c>
      <c r="E5" s="165" t="str">
        <f>DERS_PLANI!AH199</f>
        <v xml:space="preserve">ENG 102 -01 (PSY) </v>
      </c>
      <c r="F5" s="165" t="str">
        <f>DERS_PLANI!AH211</f>
        <v>PSİ 104</v>
      </c>
    </row>
    <row r="6" spans="1:6" ht="24" customHeight="1">
      <c r="A6" s="194" t="s">
        <v>725</v>
      </c>
      <c r="B6" s="165" t="str">
        <f>DERS_PLANI!AH164</f>
        <v>MIS 222 / BUS 204                                                                                                                                        (Dr. Bayar)</v>
      </c>
      <c r="C6" s="165" t="str">
        <f>DERS_PLANI!AH176</f>
        <v>PSİ 322</v>
      </c>
      <c r="D6" s="165" t="str">
        <f>DERS_PLANI!AH188</f>
        <v>PSİ 229</v>
      </c>
      <c r="E6" s="165" t="str">
        <f>DERS_PLANI!AH200</f>
        <v>PSİ 342</v>
      </c>
      <c r="F6" s="165">
        <f>DERS_PLANI!AH212</f>
        <v>0</v>
      </c>
    </row>
    <row r="7" spans="1:6" ht="24" customHeight="1">
      <c r="A7" s="194" t="s">
        <v>726</v>
      </c>
      <c r="B7" s="165" t="str">
        <f>DERS_PLANI!AH165</f>
        <v>MIS 222 / BUS 204                                                                                                                                        (Dr. Bayar)</v>
      </c>
      <c r="C7" s="165" t="str">
        <f>DERS_PLANI!AH177</f>
        <v>PSİ 322</v>
      </c>
      <c r="D7" s="165" t="str">
        <f>DERS_PLANI!AH189</f>
        <v>PSİ 229</v>
      </c>
      <c r="E7" s="165" t="str">
        <f>DERS_PLANI!AH201</f>
        <v>PSİ 342</v>
      </c>
      <c r="F7" s="165">
        <f>DERS_PLANI!AH213</f>
        <v>0</v>
      </c>
    </row>
    <row r="8" spans="1:6" ht="24" customHeight="1">
      <c r="A8" s="194" t="s">
        <v>530</v>
      </c>
      <c r="B8" s="165" t="str">
        <f>DERS_PLANI!AH166</f>
        <v>MIS 222 / BUS 204                                                                                                                                        (Dr. Bayar)</v>
      </c>
      <c r="C8" s="165" t="str">
        <f>DERS_PLANI!AH178</f>
        <v>PSİ 322</v>
      </c>
      <c r="D8" s="165" t="str">
        <f>DERS_PLANI!AH190</f>
        <v>PSİ 229</v>
      </c>
      <c r="E8" s="165" t="str">
        <f>DERS_PLANI!AH202</f>
        <v>PSİ 342</v>
      </c>
      <c r="F8" s="165">
        <f>DERS_PLANI!AH214</f>
        <v>0</v>
      </c>
    </row>
    <row r="9" spans="1:6" ht="24" customHeight="1">
      <c r="A9" s="194" t="s">
        <v>727</v>
      </c>
      <c r="B9" s="165" t="str">
        <f>DERS_PLANI!AH167</f>
        <v>PSİ 313</v>
      </c>
      <c r="C9" s="165" t="str">
        <f>DERS_PLANI!AH179</f>
        <v>PSİ 451</v>
      </c>
      <c r="D9" s="165" t="str">
        <f>DERS_PLANI!AH191</f>
        <v>PSY 219</v>
      </c>
      <c r="E9" s="165">
        <f>DERS_PLANI!AH203</f>
        <v>0</v>
      </c>
      <c r="F9" s="165">
        <f>DERS_PLANI!AH215</f>
        <v>0</v>
      </c>
    </row>
    <row r="10" spans="1:6" ht="24" customHeight="1">
      <c r="A10" s="194" t="s">
        <v>728</v>
      </c>
      <c r="B10" s="165" t="str">
        <f>DERS_PLANI!AH168</f>
        <v>PSİ 313</v>
      </c>
      <c r="C10" s="165" t="str">
        <f>DERS_PLANI!AH180</f>
        <v>PSİ 451</v>
      </c>
      <c r="D10" s="165" t="str">
        <f>DERS_PLANI!AH192</f>
        <v>PSY 219</v>
      </c>
      <c r="E10" s="165">
        <f>DERS_PLANI!AH204</f>
        <v>0</v>
      </c>
      <c r="F10" s="165">
        <f>DERS_PLANI!AH216</f>
        <v>0</v>
      </c>
    </row>
    <row r="11" spans="1:6" ht="24" customHeight="1">
      <c r="A11" s="194" t="s">
        <v>544</v>
      </c>
      <c r="B11" s="165" t="str">
        <f>DERS_PLANI!AH169</f>
        <v>PSİ 313</v>
      </c>
      <c r="C11" s="165" t="str">
        <f>DERS_PLANI!AH181</f>
        <v>PSİ 451</v>
      </c>
      <c r="D11" s="165" t="str">
        <f>DERS_PLANI!AH193</f>
        <v>PSY 219</v>
      </c>
      <c r="E11" s="165">
        <f>DERS_PLANI!AH205</f>
        <v>0</v>
      </c>
      <c r="F11" s="165">
        <f>DERS_PLANI!AH217</f>
        <v>0</v>
      </c>
    </row>
    <row r="12" spans="1:6" ht="24" customHeight="1">
      <c r="A12" s="194" t="s">
        <v>705</v>
      </c>
      <c r="B12" s="165">
        <f>DERS_PLANI!AH170</f>
        <v>0</v>
      </c>
      <c r="C12" s="165">
        <f>DERS_PLANI!AH182</f>
        <v>0</v>
      </c>
      <c r="D12" s="165">
        <f>DERS_PLANI!AH194</f>
        <v>0</v>
      </c>
      <c r="E12" s="165">
        <f>DERS_PLANI!AH206</f>
        <v>0</v>
      </c>
      <c r="F12" s="165">
        <f>DERS_PLANI!AH218</f>
        <v>0</v>
      </c>
    </row>
    <row r="13" spans="1:6" ht="24" customHeight="1">
      <c r="A13" s="194" t="s">
        <v>703</v>
      </c>
      <c r="B13" s="165">
        <f>DERS_PLANI!AH171</f>
        <v>0</v>
      </c>
      <c r="C13" s="165">
        <f>DERS_PLANI!AH183</f>
        <v>0</v>
      </c>
      <c r="D13" s="165">
        <f>DERS_PLANI!AH195</f>
        <v>0</v>
      </c>
      <c r="E13" s="165">
        <f>DERS_PLANI!AH207</f>
        <v>0</v>
      </c>
      <c r="F13" s="165">
        <f>DERS_PLANI!AH219</f>
        <v>0</v>
      </c>
    </row>
    <row r="14" spans="1:6" ht="24" customHeight="1">
      <c r="A14" s="194" t="s">
        <v>704</v>
      </c>
      <c r="B14" s="165">
        <f>DERS_PLANI!AH172</f>
        <v>0</v>
      </c>
      <c r="C14" s="165">
        <f>DERS_PLANI!AH184</f>
        <v>0</v>
      </c>
      <c r="D14" s="165">
        <f>DERS_PLANI!AH196</f>
        <v>0</v>
      </c>
      <c r="E14" s="165">
        <f>DERS_PLANI!AH208</f>
        <v>0</v>
      </c>
      <c r="F14" s="165">
        <f>DERS_PLANI!AH220</f>
        <v>0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84C8-6082-F449-8D51-71B10D9C6319}">
  <dimension ref="A1:F14"/>
  <sheetViews>
    <sheetView workbookViewId="0">
      <selection activeCell="E7" sqref="E7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729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 t="str">
        <f>DERS_PLANI!AG161</f>
        <v>MYOETP 102 E-TİCARET ve ENTEGRASYON</v>
      </c>
      <c r="C3" s="165">
        <f>DERS_PLANI!AG173</f>
        <v>0</v>
      </c>
      <c r="D3" s="165">
        <f>DERS_PLANI!AG185</f>
        <v>0</v>
      </c>
      <c r="E3" s="165">
        <f>DERS_PLANI!AG197</f>
        <v>0</v>
      </c>
      <c r="F3" s="165">
        <f>DERS_PLANI!AG209</f>
        <v>0</v>
      </c>
    </row>
    <row r="4" spans="1:6" ht="24" customHeight="1">
      <c r="A4" s="190" t="s">
        <v>694</v>
      </c>
      <c r="B4" s="165" t="str">
        <f>DERS_PLANI!AG162</f>
        <v>MYOETP 102 E-TİCARET ve ENTEGRASYON</v>
      </c>
      <c r="C4" s="165">
        <f>DERS_PLANI!AG174</f>
        <v>0</v>
      </c>
      <c r="D4" s="165">
        <f>DERS_PLANI!AG186</f>
        <v>0</v>
      </c>
      <c r="E4" s="165" t="str">
        <f>DERS_PLANI!AG198</f>
        <v xml:space="preserve">ING 302 - 01 (MMF BILG. MUH. TR)  </v>
      </c>
      <c r="F4" s="165">
        <f>DERS_PLANI!AG210</f>
        <v>0</v>
      </c>
    </row>
    <row r="5" spans="1:6" ht="24" customHeight="1">
      <c r="A5" s="190" t="s">
        <v>695</v>
      </c>
      <c r="B5" s="165" t="str">
        <f>DERS_PLANI!AG163</f>
        <v>MYOETP 102 E-TİCARET ve ENTEGRASYON</v>
      </c>
      <c r="C5" s="165">
        <f>DERS_PLANI!AG175</f>
        <v>0</v>
      </c>
      <c r="D5" s="165" t="str">
        <f>DERS_PLANI!AG187</f>
        <v>SİMURG SEÇMELİ</v>
      </c>
      <c r="E5" s="165" t="str">
        <f>DERS_PLANI!AG199</f>
        <v xml:space="preserve">ING 302 - 01 (MMF BILG. MUH. TR)  </v>
      </c>
      <c r="F5" s="165">
        <f>DERS_PLANI!AG211</f>
        <v>0</v>
      </c>
    </row>
    <row r="6" spans="1:6" ht="24" customHeight="1">
      <c r="A6" s="190" t="s">
        <v>696</v>
      </c>
      <c r="B6" s="165" t="str">
        <f>DERS_PLANI!AG164</f>
        <v>MYO - ETP 106 ONLINE SATIŞ PLATFORMLARI</v>
      </c>
      <c r="C6" s="165" t="str">
        <f>DERS_PLANI!AG176</f>
        <v xml:space="preserve">MYO - IHA208 SİSTEM DİNAMİĞİ </v>
      </c>
      <c r="D6" s="165" t="str">
        <f>DERS_PLANI!AG188</f>
        <v>SİMURG MASTERCLASS</v>
      </c>
      <c r="E6" s="165">
        <f>DERS_PLANI!AG200</f>
        <v>0</v>
      </c>
      <c r="F6" s="165">
        <f>DERS_PLANI!AG212</f>
        <v>0</v>
      </c>
    </row>
    <row r="7" spans="1:6" ht="24" customHeight="1">
      <c r="A7" s="190" t="s">
        <v>697</v>
      </c>
      <c r="B7" s="165" t="str">
        <f>DERS_PLANI!AG165</f>
        <v>MYO - ETP 106 ONLINE SATIŞ PLATFORMLARI</v>
      </c>
      <c r="C7" s="165" t="str">
        <f>DERS_PLANI!AG177</f>
        <v xml:space="preserve">MYO - IHA208 SİSTEM DİNAMİĞİ </v>
      </c>
      <c r="D7" s="165" t="str">
        <f>DERS_PLANI!AG189</f>
        <v>SİMURG MASTERCLASS</v>
      </c>
      <c r="E7" s="165">
        <f>DERS_PLANI!AG201</f>
        <v>0</v>
      </c>
      <c r="F7" s="165">
        <f>DERS_PLANI!AG213</f>
        <v>0</v>
      </c>
    </row>
    <row r="8" spans="1:6" ht="24" customHeight="1">
      <c r="A8" s="190" t="s">
        <v>698</v>
      </c>
      <c r="B8" s="165" t="str">
        <f>DERS_PLANI!AG166</f>
        <v>MYO - ETP 106 ONLINE SATIŞ PLATFORMLARI</v>
      </c>
      <c r="C8" s="165" t="str">
        <f>DERS_PLANI!AG178</f>
        <v xml:space="preserve">MYO - IHA208 SİSTEM DİNAMİĞİ </v>
      </c>
      <c r="D8" s="165" t="str">
        <f>DERS_PLANI!AG190</f>
        <v>SİMURG MASTERCLASS</v>
      </c>
      <c r="E8" s="165">
        <f>DERS_PLANI!AG202</f>
        <v>0</v>
      </c>
      <c r="F8" s="165">
        <f>DERS_PLANI!AG214</f>
        <v>0</v>
      </c>
    </row>
    <row r="9" spans="1:6" ht="24" customHeight="1">
      <c r="A9" s="190" t="s">
        <v>699</v>
      </c>
      <c r="B9" s="165">
        <f>DERS_PLANI!AG167</f>
        <v>0</v>
      </c>
      <c r="C9" s="165">
        <f>DERS_PLANI!AG179</f>
        <v>0</v>
      </c>
      <c r="D9" s="165" t="str">
        <f>DERS_PLANI!AG191</f>
        <v>SİMURG MASTERCLASS</v>
      </c>
      <c r="E9" s="165" t="str">
        <f>DERS_PLANI!AG203</f>
        <v>MYO - IHA112	TEMEL ELEKTRİK ve ELEKTRONİK</v>
      </c>
      <c r="F9" s="165">
        <f>DERS_PLANI!AG215</f>
        <v>0</v>
      </c>
    </row>
    <row r="10" spans="1:6" ht="24" customHeight="1">
      <c r="A10" s="190" t="s">
        <v>700</v>
      </c>
      <c r="B10" s="165">
        <f>DERS_PLANI!AG168</f>
        <v>0</v>
      </c>
      <c r="C10" s="165">
        <f>DERS_PLANI!AG180</f>
        <v>0</v>
      </c>
      <c r="D10" s="165" t="str">
        <f>DERS_PLANI!AG192</f>
        <v>SİMURG SEÇMELİ</v>
      </c>
      <c r="E10" s="165" t="str">
        <f>DERS_PLANI!AG204</f>
        <v>MYO - IHA112	TEMEL ELEKTRİK ve ELEKTRONİK</v>
      </c>
      <c r="F10" s="165">
        <f>DERS_PLANI!AG216</f>
        <v>0</v>
      </c>
    </row>
    <row r="11" spans="1:6" ht="24" customHeight="1">
      <c r="A11" s="190" t="s">
        <v>701</v>
      </c>
      <c r="B11" s="165">
        <f>DERS_PLANI!AG169</f>
        <v>0</v>
      </c>
      <c r="C11" s="165">
        <f>DERS_PLANI!AG181</f>
        <v>0</v>
      </c>
      <c r="D11" s="165">
        <f>DERS_PLANI!AG193</f>
        <v>0</v>
      </c>
      <c r="E11" s="165">
        <f>DERS_PLANI!AG205</f>
        <v>0</v>
      </c>
      <c r="F11" s="165">
        <f>DERS_PLANI!AG217</f>
        <v>0</v>
      </c>
    </row>
    <row r="12" spans="1:6" ht="24" customHeight="1">
      <c r="A12" s="190" t="s">
        <v>705</v>
      </c>
      <c r="B12" s="165">
        <f>DERS_PLANI!AG170</f>
        <v>0</v>
      </c>
      <c r="C12" s="165">
        <f>DERS_PLANI!AG182</f>
        <v>0</v>
      </c>
      <c r="D12" s="165">
        <f>DERS_PLANI!AG194</f>
        <v>0</v>
      </c>
      <c r="E12" s="165">
        <f>DERS_PLANI!AG206</f>
        <v>0</v>
      </c>
      <c r="F12" s="165">
        <f>DERS_PLANI!AG218</f>
        <v>0</v>
      </c>
    </row>
    <row r="13" spans="1:6" ht="24" customHeight="1">
      <c r="A13" s="190" t="s">
        <v>703</v>
      </c>
      <c r="B13" s="165">
        <f>DERS_PLANI!AG171</f>
        <v>0</v>
      </c>
      <c r="C13" s="165">
        <f>DERS_PLANI!AG183</f>
        <v>0</v>
      </c>
      <c r="D13" s="165">
        <f>DERS_PLANI!AG195</f>
        <v>0</v>
      </c>
      <c r="E13" s="165">
        <f>DERS_PLANI!AG207</f>
        <v>0</v>
      </c>
      <c r="F13" s="165">
        <f>DERS_PLANI!AG219</f>
        <v>0</v>
      </c>
    </row>
    <row r="14" spans="1:6" ht="24" customHeight="1">
      <c r="A14" s="190" t="s">
        <v>704</v>
      </c>
      <c r="B14" s="165">
        <f>DERS_PLANI!AG172</f>
        <v>0</v>
      </c>
      <c r="C14" s="165">
        <f>DERS_PLANI!AG184</f>
        <v>0</v>
      </c>
      <c r="D14" s="165">
        <f>DERS_PLANI!AG196</f>
        <v>0</v>
      </c>
      <c r="E14" s="165">
        <f>DERS_PLANI!AG208</f>
        <v>0</v>
      </c>
      <c r="F14" s="165">
        <f>DERS_PLANI!AG220</f>
        <v>0</v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E37A-AC63-0B48-8A5D-217787892242}">
  <dimension ref="A1:F14"/>
  <sheetViews>
    <sheetView workbookViewId="0">
      <selection activeCell="D6" sqref="D6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730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DERS_PLANI!AF161</f>
        <v>0</v>
      </c>
      <c r="C3" s="131" t="str">
        <f>DERS_PLANI!AF173</f>
        <v xml:space="preserve">ENG 302 -05- GSTF </v>
      </c>
      <c r="D3" s="131" t="str">
        <f>DERS_PLANI!AF185</f>
        <v>NMC 202</v>
      </c>
      <c r="E3" s="131" t="str">
        <f>DERS_PLANI!AF197</f>
        <v>FAD 460</v>
      </c>
      <c r="F3" s="131">
        <f>DERS_PLANI!AF209</f>
        <v>0</v>
      </c>
    </row>
    <row r="4" spans="1:6" ht="24" customHeight="1">
      <c r="A4" s="190" t="s">
        <v>694</v>
      </c>
      <c r="B4" s="131">
        <f>DERS_PLANI!AF162</f>
        <v>0</v>
      </c>
      <c r="C4" s="131" t="str">
        <f>DERS_PLANI!AF174</f>
        <v xml:space="preserve">ENG 302 -05- GSTF </v>
      </c>
      <c r="D4" s="131" t="str">
        <f>DERS_PLANI!AF186</f>
        <v>NMC 202</v>
      </c>
      <c r="E4" s="131" t="str">
        <f>DERS_PLANI!AF198</f>
        <v>FAD 460</v>
      </c>
      <c r="F4" s="131">
        <f>DERS_PLANI!AF210</f>
        <v>0</v>
      </c>
    </row>
    <row r="5" spans="1:6" ht="24" customHeight="1">
      <c r="A5" s="190" t="s">
        <v>695</v>
      </c>
      <c r="B5" s="131">
        <f>DERS_PLANI!AF163</f>
        <v>0</v>
      </c>
      <c r="C5" s="131">
        <f>DERS_PLANI!AF175</f>
        <v>0</v>
      </c>
      <c r="D5" s="131" t="str">
        <f>DERS_PLANI!AF187</f>
        <v>NMC 202</v>
      </c>
      <c r="E5" s="131" t="str">
        <f>DERS_PLANI!AF199</f>
        <v>FAD 460</v>
      </c>
      <c r="F5" s="131">
        <f>DERS_PLANI!AF211</f>
        <v>0</v>
      </c>
    </row>
    <row r="6" spans="1:6" ht="24" customHeight="1">
      <c r="A6" s="190" t="s">
        <v>696</v>
      </c>
      <c r="B6" s="131">
        <f>DERS_PLANI!AF164</f>
        <v>0</v>
      </c>
      <c r="C6" s="131">
        <f>DERS_PLANI!AF176</f>
        <v>0</v>
      </c>
      <c r="D6" s="131">
        <f>DERS_PLANI!AF188</f>
        <v>0</v>
      </c>
      <c r="E6" s="131" t="str">
        <f>DERS_PLANI!AF200</f>
        <v>NMC 304</v>
      </c>
      <c r="F6" s="131">
        <f>DERS_PLANI!AF212</f>
        <v>0</v>
      </c>
    </row>
    <row r="7" spans="1:6" ht="24" customHeight="1">
      <c r="A7" s="190" t="s">
        <v>697</v>
      </c>
      <c r="B7" s="131">
        <f>DERS_PLANI!AF165</f>
        <v>0</v>
      </c>
      <c r="C7" s="131" t="str">
        <f>DERS_PLANI!AF177</f>
        <v>HUK404</v>
      </c>
      <c r="D7" s="131" t="str">
        <f>DERS_PLANI!AF189</f>
        <v>HUK412</v>
      </c>
      <c r="E7" s="131" t="str">
        <f>DERS_PLANI!AF201</f>
        <v>NMC 304</v>
      </c>
      <c r="F7" s="131">
        <f>DERS_PLANI!AF213</f>
        <v>0</v>
      </c>
    </row>
    <row r="8" spans="1:6" ht="24" customHeight="1">
      <c r="A8" s="190" t="s">
        <v>698</v>
      </c>
      <c r="B8" s="131">
        <f>DERS_PLANI!AF166</f>
        <v>0</v>
      </c>
      <c r="C8" s="131" t="str">
        <f>DERS_PLANI!AF178</f>
        <v>HUK404</v>
      </c>
      <c r="D8" s="131" t="str">
        <f>DERS_PLANI!AF190</f>
        <v>HUK412</v>
      </c>
      <c r="E8" s="131" t="str">
        <f>DERS_PLANI!AF202</f>
        <v>NMC 304</v>
      </c>
      <c r="F8" s="131">
        <f>DERS_PLANI!AF214</f>
        <v>0</v>
      </c>
    </row>
    <row r="9" spans="1:6" ht="24" customHeight="1">
      <c r="A9" s="190" t="s">
        <v>699</v>
      </c>
      <c r="B9" s="131">
        <f>DERS_PLANI!AF167</f>
        <v>0</v>
      </c>
      <c r="C9" s="131" t="str">
        <f>DERS_PLANI!AF179</f>
        <v>HUK404</v>
      </c>
      <c r="D9" s="131" t="str">
        <f>DERS_PLANI!AF191</f>
        <v>HUK412</v>
      </c>
      <c r="E9" s="131">
        <f>DERS_PLANI!AF203</f>
        <v>0</v>
      </c>
      <c r="F9" s="131">
        <f>DERS_PLANI!AF215</f>
        <v>0</v>
      </c>
    </row>
    <row r="10" spans="1:6" ht="24" customHeight="1">
      <c r="A10" s="190" t="s">
        <v>700</v>
      </c>
      <c r="B10" s="131">
        <f>DERS_PLANI!AF168</f>
        <v>0</v>
      </c>
      <c r="C10" s="131">
        <f>DERS_PLANI!AF180</f>
        <v>0</v>
      </c>
      <c r="D10" s="131">
        <f>DERS_PLANI!AF192</f>
        <v>0</v>
      </c>
      <c r="E10" s="131">
        <f>DERS_PLANI!AF204</f>
        <v>0</v>
      </c>
      <c r="F10" s="131">
        <f>DERS_PLANI!AF216</f>
        <v>0</v>
      </c>
    </row>
    <row r="11" spans="1:6" ht="24" customHeight="1">
      <c r="A11" s="190" t="s">
        <v>701</v>
      </c>
      <c r="B11" s="131">
        <f>DERS_PLANI!AF169</f>
        <v>0</v>
      </c>
      <c r="C11" s="131">
        <f>DERS_PLANI!AF181</f>
        <v>0</v>
      </c>
      <c r="D11" s="131">
        <f>DERS_PLANI!AF193</f>
        <v>0</v>
      </c>
      <c r="E11" s="131">
        <f>DERS_PLANI!AF205</f>
        <v>0</v>
      </c>
      <c r="F11" s="131">
        <f>DERS_PLANI!AF217</f>
        <v>0</v>
      </c>
    </row>
    <row r="12" spans="1:6" ht="24" customHeight="1">
      <c r="A12" s="190" t="s">
        <v>705</v>
      </c>
      <c r="B12" s="131">
        <f>DERS_PLANI!AF170</f>
        <v>0</v>
      </c>
      <c r="C12" s="131">
        <f>DERS_PLANI!AF182</f>
        <v>0</v>
      </c>
      <c r="D12" s="131">
        <f>DERS_PLANI!AF194</f>
        <v>0</v>
      </c>
      <c r="E12" s="131">
        <f>DERS_PLANI!AF206</f>
        <v>0</v>
      </c>
      <c r="F12" s="131">
        <f>DERS_PLANI!AF218</f>
        <v>0</v>
      </c>
    </row>
    <row r="13" spans="1:6" ht="24" customHeight="1">
      <c r="A13" s="190" t="s">
        <v>703</v>
      </c>
      <c r="B13" s="131">
        <f>DERS_PLANI!AF171</f>
        <v>0</v>
      </c>
      <c r="C13" s="131">
        <f>DERS_PLANI!AF183</f>
        <v>0</v>
      </c>
      <c r="D13" s="131">
        <f>DERS_PLANI!AF195</f>
        <v>0</v>
      </c>
      <c r="E13" s="131">
        <f>DERS_PLANI!AF207</f>
        <v>0</v>
      </c>
      <c r="F13" s="131">
        <f>DERS_PLANI!AF219</f>
        <v>0</v>
      </c>
    </row>
    <row r="14" spans="1:6" ht="24" customHeight="1">
      <c r="A14" s="190" t="s">
        <v>704</v>
      </c>
      <c r="B14" s="131">
        <f>DERS_PLANI!AF172</f>
        <v>0</v>
      </c>
      <c r="C14" s="131">
        <f>DERS_PLANI!AF184</f>
        <v>0</v>
      </c>
      <c r="D14" s="131">
        <f>DERS_PLANI!AF196</f>
        <v>0</v>
      </c>
      <c r="E14" s="131">
        <f>DERS_PLANI!AF208</f>
        <v>0</v>
      </c>
      <c r="F14" s="131">
        <f>DERS_PLANI!AF220</f>
        <v>0</v>
      </c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6BDE-16C3-964A-BC83-F1175314DF6C}">
  <dimension ref="A1:F14"/>
  <sheetViews>
    <sheetView workbookViewId="0">
      <selection activeCell="E7" sqref="E7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731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DERS_PLANI!AE161</f>
        <v>0</v>
      </c>
      <c r="C3" s="131">
        <f>DERS_PLANI!AE173</f>
        <v>0</v>
      </c>
      <c r="D3" s="315" t="str">
        <f>DERS_PLANI!AE185</f>
        <v>FAD 477 (Doç. Dr. Ece Kumkale Açıkgöz)</v>
      </c>
      <c r="E3" s="315" t="str">
        <f>DERS_PLANI!AE197</f>
        <v>IAD 132 (Prof. Dr. Özlem Erdoğdu Erkaslan)</v>
      </c>
      <c r="F3" s="131">
        <f>DERS_PLANI!AE209</f>
        <v>0</v>
      </c>
    </row>
    <row r="4" spans="1:6" ht="24" customHeight="1">
      <c r="A4" s="190" t="s">
        <v>694</v>
      </c>
      <c r="B4" s="131">
        <f>DERS_PLANI!AE162</f>
        <v>0</v>
      </c>
      <c r="C4" s="131">
        <f>DERS_PLANI!AE174</f>
        <v>0</v>
      </c>
      <c r="D4" s="315" t="str">
        <f>DERS_PLANI!AE186</f>
        <v>FAD 477 (Doç. Dr. Ece Kumkale Açıkgöz)</v>
      </c>
      <c r="E4" s="315" t="str">
        <f>DERS_PLANI!AE198</f>
        <v>IAD 132 (Prof. Dr. Özlem Erdoğdu Erkaslan)</v>
      </c>
      <c r="F4" s="131">
        <f>DERS_PLANI!AE210</f>
        <v>0</v>
      </c>
    </row>
    <row r="5" spans="1:6" ht="24" customHeight="1">
      <c r="A5" s="190" t="s">
        <v>695</v>
      </c>
      <c r="B5" s="131">
        <f>DERS_PLANI!AE163</f>
        <v>0</v>
      </c>
      <c r="C5" s="131">
        <f>DERS_PLANI!AE175</f>
        <v>0</v>
      </c>
      <c r="D5" s="315" t="str">
        <f>DERS_PLANI!AE187</f>
        <v>FAD 477 (Doç. Dr. Ece Kumkale Açıkgöz)</v>
      </c>
      <c r="E5" s="315" t="str">
        <f>DERS_PLANI!AE199</f>
        <v>IAD 132 (Prof. Dr. Özlem Erdoğdu Erkaslan)</v>
      </c>
      <c r="F5" s="131">
        <f>DERS_PLANI!AE211</f>
        <v>0</v>
      </c>
    </row>
    <row r="6" spans="1:6" ht="24" customHeight="1">
      <c r="A6" s="190" t="s">
        <v>696</v>
      </c>
      <c r="B6" s="131">
        <f>DERS_PLANI!AE164</f>
        <v>0</v>
      </c>
      <c r="C6" s="131">
        <f>DERS_PLANI!AE176</f>
        <v>0</v>
      </c>
      <c r="D6" s="131" t="str">
        <f>DERS_PLANI!AE188</f>
        <v>FAD 363 (Dr. Nedim Kemer)</v>
      </c>
      <c r="E6" s="131">
        <f>DERS_PLANI!AE200</f>
        <v>0</v>
      </c>
      <c r="F6" s="131">
        <f>DERS_PLANI!AE212</f>
        <v>0</v>
      </c>
    </row>
    <row r="7" spans="1:6" ht="24" customHeight="1">
      <c r="A7" s="190" t="s">
        <v>697</v>
      </c>
      <c r="B7" s="131">
        <f>DERS_PLANI!AE165</f>
        <v>0</v>
      </c>
      <c r="C7" s="131">
        <f>DERS_PLANI!AE177</f>
        <v>0</v>
      </c>
      <c r="D7" s="131" t="str">
        <f>DERS_PLANI!AE189</f>
        <v>FAD 363 (Dr. Nedim Kemer)</v>
      </c>
      <c r="E7" s="131">
        <f>DERS_PLANI!AE201</f>
        <v>0</v>
      </c>
      <c r="F7" s="131" t="str">
        <f>DERS_PLANI!AE213</f>
        <v>FAD 472 (Dr. Nedim Kemer)</v>
      </c>
    </row>
    <row r="8" spans="1:6" ht="24" customHeight="1">
      <c r="A8" s="190" t="s">
        <v>698</v>
      </c>
      <c r="B8" s="131">
        <f>DERS_PLANI!AE166</f>
        <v>0</v>
      </c>
      <c r="C8" s="131">
        <f>DERS_PLANI!AE178</f>
        <v>0</v>
      </c>
      <c r="D8" s="131" t="str">
        <f>DERS_PLANI!AE190</f>
        <v>FAD 363 (Dr. Nedim Kemer)</v>
      </c>
      <c r="E8" s="131">
        <f>DERS_PLANI!AE202</f>
        <v>0</v>
      </c>
      <c r="F8" s="131" t="str">
        <f>DERS_PLANI!AE214</f>
        <v>FAD 472 (Dr. Nedim Kemer)</v>
      </c>
    </row>
    <row r="9" spans="1:6" ht="24" customHeight="1">
      <c r="A9" s="190" t="s">
        <v>699</v>
      </c>
      <c r="B9" s="131">
        <f>DERS_PLANI!AE167</f>
        <v>0</v>
      </c>
      <c r="C9" s="131">
        <f>DERS_PLANI!AE179</f>
        <v>0</v>
      </c>
      <c r="D9" s="131">
        <f>DERS_PLANI!AE191</f>
        <v>0</v>
      </c>
      <c r="E9" s="131" t="str">
        <f>DERS_PLANI!AE203</f>
        <v>IAD 254 (Dr. Merve Şahika Erkan)</v>
      </c>
      <c r="F9" s="131" t="str">
        <f>DERS_PLANI!AE215</f>
        <v>FAD 472 (Dr. Nedim Kemer)</v>
      </c>
    </row>
    <row r="10" spans="1:6" ht="24" customHeight="1">
      <c r="A10" s="190" t="s">
        <v>700</v>
      </c>
      <c r="B10" s="131">
        <f>DERS_PLANI!AE168</f>
        <v>0</v>
      </c>
      <c r="C10" s="131">
        <f>DERS_PLANI!AE180</f>
        <v>0</v>
      </c>
      <c r="D10" s="131">
        <f>DERS_PLANI!AE192</f>
        <v>0</v>
      </c>
      <c r="E10" s="131" t="str">
        <f>DERS_PLANI!AE204</f>
        <v>IAD 254 (Dr. Merve Şahika Erkan)</v>
      </c>
      <c r="F10" s="131">
        <f>DERS_PLANI!AE216</f>
        <v>0</v>
      </c>
    </row>
    <row r="11" spans="1:6" ht="24" customHeight="1">
      <c r="A11" s="190" t="s">
        <v>701</v>
      </c>
      <c r="B11" s="131">
        <f>DERS_PLANI!AE169</f>
        <v>0</v>
      </c>
      <c r="C11" s="131">
        <f>DERS_PLANI!AE181</f>
        <v>0</v>
      </c>
      <c r="D11" s="131">
        <f>DERS_PLANI!AE193</f>
        <v>0</v>
      </c>
      <c r="E11" s="131" t="str">
        <f>DERS_PLANI!AE205</f>
        <v>IAD 254 (Dr. Merve Şahika Erkan)</v>
      </c>
      <c r="F11" s="131">
        <f>DERS_PLANI!AE217</f>
        <v>0</v>
      </c>
    </row>
    <row r="12" spans="1:6" ht="24" customHeight="1">
      <c r="A12" s="190" t="s">
        <v>705</v>
      </c>
      <c r="B12" s="131">
        <f>DERS_PLANI!AE170</f>
        <v>0</v>
      </c>
      <c r="C12" s="131">
        <f>DERS_PLANI!AE182</f>
        <v>0</v>
      </c>
      <c r="D12" s="131">
        <f>DERS_PLANI!AE194</f>
        <v>0</v>
      </c>
      <c r="E12" s="131">
        <f>DERS_PLANI!AE206</f>
        <v>0</v>
      </c>
      <c r="F12" s="131">
        <f>DERS_PLANI!AE218</f>
        <v>0</v>
      </c>
    </row>
    <row r="13" spans="1:6" ht="24" customHeight="1">
      <c r="A13" s="190" t="s">
        <v>703</v>
      </c>
      <c r="B13" s="131">
        <f>DERS_PLANI!AE171</f>
        <v>0</v>
      </c>
      <c r="C13" s="131">
        <f>DERS_PLANI!AE183</f>
        <v>0</v>
      </c>
      <c r="D13" s="131">
        <f>DERS_PLANI!AE195</f>
        <v>0</v>
      </c>
      <c r="E13" s="131">
        <f>DERS_PLANI!AE207</f>
        <v>0</v>
      </c>
      <c r="F13" s="131">
        <f>DERS_PLANI!AE219</f>
        <v>0</v>
      </c>
    </row>
    <row r="14" spans="1:6" ht="24" customHeight="1">
      <c r="A14" s="190" t="s">
        <v>704</v>
      </c>
      <c r="B14" s="131">
        <f>DERS_PLANI!AE172</f>
        <v>0</v>
      </c>
      <c r="C14" s="131">
        <f>DERS_PLANI!AE184</f>
        <v>0</v>
      </c>
      <c r="D14" s="131">
        <f>DERS_PLANI!AE196</f>
        <v>0</v>
      </c>
      <c r="E14" s="131">
        <f>DERS_PLANI!AE208</f>
        <v>0</v>
      </c>
      <c r="F14" s="131">
        <f>DERS_PLANI!AE220</f>
        <v>0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15F3-389E-FA43-A845-1CBF27407E1F}">
  <dimension ref="A1:F14"/>
  <sheetViews>
    <sheetView workbookViewId="0">
      <selection activeCell="E7" sqref="E7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4.5" customHeight="1">
      <c r="A1" s="356" t="s">
        <v>732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65" t="str">
        <f>DERS_PLANI!AD161</f>
        <v>MYO - BIL 104 VERİ TABANI TEMELLERİ Ş1</v>
      </c>
      <c r="C3" s="165" t="str">
        <f>DERS_PLANI!AD173</f>
        <v>MYO - BGT202 Adli Bilişim</v>
      </c>
      <c r="D3" s="165" t="str">
        <f>DERS_PLANI!AD185</f>
        <v xml:space="preserve">MYO - BIL206	GÖMÜLÜ SİSTEMLER ş1 </v>
      </c>
      <c r="E3" s="165" t="str">
        <f>DERS_PLANI!AD197</f>
        <v>MYO - BGT 106	AÇIK KAYNAK İŞLETİM SİSTEMİ ş2</v>
      </c>
      <c r="F3" s="165" t="str">
        <f>DERS_PLANI!AD209</f>
        <v>MYO - BGT 106	AÇIK KAYNAK İŞLETİM SİSTEMİ ş4</v>
      </c>
    </row>
    <row r="4" spans="1:6" ht="24" customHeight="1">
      <c r="A4" s="190" t="s">
        <v>694</v>
      </c>
      <c r="B4" s="165" t="str">
        <f>DERS_PLANI!AD162</f>
        <v>MYO - BIL 104 VERİ TABANI TEMELLERİ Ş1</v>
      </c>
      <c r="C4" s="165" t="str">
        <f>DERS_PLANI!AD174</f>
        <v>MYO - BGT202 Adli Bilişim</v>
      </c>
      <c r="D4" s="165" t="str">
        <f>DERS_PLANI!AD186</f>
        <v xml:space="preserve">MYO - BIL206	GÖMÜLÜ SİSTEMLER ş1 </v>
      </c>
      <c r="E4" s="165" t="str">
        <f>DERS_PLANI!AD198</f>
        <v>MYO - BGT 106	AÇIK KAYNAK İŞLETİM SİSTEMİ ş2</v>
      </c>
      <c r="F4" s="165" t="str">
        <f>DERS_PLANI!AD210</f>
        <v>MYO - BGT 106	AÇIK KAYNAK İŞLETİM SİSTEMİ ş4</v>
      </c>
    </row>
    <row r="5" spans="1:6" ht="24" customHeight="1">
      <c r="A5" s="190" t="s">
        <v>695</v>
      </c>
      <c r="B5" s="165" t="str">
        <f>DERS_PLANI!AD163</f>
        <v>MYO - BIL 104 VERİ TABANI TEMELLERİ Ş1</v>
      </c>
      <c r="C5" s="165" t="str">
        <f>DERS_PLANI!AD175</f>
        <v>MYO - BGT202 Adli Bilişim</v>
      </c>
      <c r="D5" s="165" t="str">
        <f>DERS_PLANI!AD187</f>
        <v xml:space="preserve">MYO - BIL206	GÖMÜLÜ SİSTEMLER ş1 </v>
      </c>
      <c r="E5" s="165" t="str">
        <f>DERS_PLANI!AD199</f>
        <v>MYO - BGT 106	AÇIK KAYNAK İŞLETİM SİSTEMİ ş2</v>
      </c>
      <c r="F5" s="165" t="str">
        <f>DERS_PLANI!AD211</f>
        <v>MYO - BGT 106	AÇIK KAYNAK İŞLETİM SİSTEMİ ş4</v>
      </c>
    </row>
    <row r="6" spans="1:6" ht="24" customHeight="1">
      <c r="A6" s="190" t="s">
        <v>696</v>
      </c>
      <c r="B6" s="165" t="str">
        <f>DERS_PLANI!AD164</f>
        <v>MYO - BIL 104 VERİ TABANI TEMELLERİ Ş2</v>
      </c>
      <c r="C6" s="165" t="str">
        <f>DERS_PLANI!AD176</f>
        <v>MYO - BIL 104 VERİ TABANI TEMELLERİ Ş2</v>
      </c>
      <c r="D6" s="165" t="str">
        <f>DERS_PLANI!AD188</f>
        <v>MYO - BGT212 Sızma Testi</v>
      </c>
      <c r="E6" s="165" t="str">
        <f>DERS_PLANI!AD200</f>
        <v xml:space="preserve">MYO- BGT214 Siber Güvenlik Operasyon Yönetimi </v>
      </c>
      <c r="F6" s="165">
        <f>DERS_PLANI!AD212</f>
        <v>0</v>
      </c>
    </row>
    <row r="7" spans="1:6" ht="24" customHeight="1">
      <c r="A7" s="190" t="s">
        <v>697</v>
      </c>
      <c r="B7" s="165" t="str">
        <f>DERS_PLANI!AD165</f>
        <v>MYO - BIL 104 VERİ TABANI TEMELLERİ Ş2</v>
      </c>
      <c r="C7" s="165" t="str">
        <f>DERS_PLANI!AD177</f>
        <v>MYO - BIL 104 VERİ TABANI TEMELLERİ Ş2</v>
      </c>
      <c r="D7" s="165" t="str">
        <f>DERS_PLANI!AD189</f>
        <v>MYO - BGT212 Sızma Testi</v>
      </c>
      <c r="E7" s="165" t="str">
        <f>DERS_PLANI!AD201</f>
        <v xml:space="preserve">MYO- BGT214 Siber Güvenlik Operasyon Yönetimi </v>
      </c>
      <c r="F7" s="165">
        <f>DERS_PLANI!AD213</f>
        <v>0</v>
      </c>
    </row>
    <row r="8" spans="1:6" ht="24" customHeight="1">
      <c r="A8" s="190" t="s">
        <v>698</v>
      </c>
      <c r="B8" s="165" t="str">
        <f>DERS_PLANI!AD166</f>
        <v>MYO - BIL 104 VERİ TABANI TEMELLERİ Ş2</v>
      </c>
      <c r="C8" s="165" t="str">
        <f>DERS_PLANI!AD178</f>
        <v>MYO - BIL 104 VERİ TABANI TEMELLERİ Ş2</v>
      </c>
      <c r="D8" s="165" t="str">
        <f>DERS_PLANI!AD190</f>
        <v>MYO - BGT212 Sızma Testi</v>
      </c>
      <c r="E8" s="165" t="str">
        <f>DERS_PLANI!AD202</f>
        <v xml:space="preserve">MYO- BGT214 Siber Güvenlik Operasyon Yönetimi </v>
      </c>
      <c r="F8" s="165">
        <f>DERS_PLANI!AD214</f>
        <v>0</v>
      </c>
    </row>
    <row r="9" spans="1:6" ht="24" customHeight="1">
      <c r="A9" s="190" t="s">
        <v>699</v>
      </c>
      <c r="B9" s="165" t="str">
        <f>DERS_PLANI!AD167</f>
        <v>MYO - BIL204 İNTERNET PROGRAMCILIĞI II Ş1</v>
      </c>
      <c r="C9" s="165" t="str">
        <f>DERS_PLANI!AD179</f>
        <v>MYO - BIL 215 Nesne Tabanli Programlama II Ş3</v>
      </c>
      <c r="D9" s="165" t="str">
        <f>DERS_PLANI!AD191</f>
        <v>MYO - BGT 106	AÇIK KAYNAK İŞLETİM SİSTEMİ ş1</v>
      </c>
      <c r="E9" s="165" t="str">
        <f>DERS_PLANI!AD203</f>
        <v>MYO - BGT 106	AÇIK KAYNAK İŞLETİM SİSTEMİ ş3</v>
      </c>
      <c r="F9" s="165">
        <f>DERS_PLANI!AD215</f>
        <v>0</v>
      </c>
    </row>
    <row r="10" spans="1:6" ht="24" customHeight="1">
      <c r="A10" s="190" t="s">
        <v>700</v>
      </c>
      <c r="B10" s="165" t="str">
        <f>DERS_PLANI!AD168</f>
        <v>MYO - BIL204 İNTERNET PROGRAMCILIĞI II Ş1</v>
      </c>
      <c r="C10" s="165" t="str">
        <f>DERS_PLANI!AD180</f>
        <v>MYO - BIL 215 Nesne Tabanli Programlama II Ş3</v>
      </c>
      <c r="D10" s="165" t="str">
        <f>DERS_PLANI!AD192</f>
        <v>MYO - BGT 106	AÇIK KAYNAK İŞLETİM SİSTEMİ ş1</v>
      </c>
      <c r="E10" s="165" t="str">
        <f>DERS_PLANI!AD204</f>
        <v>MYO - BGT 106	AÇIK KAYNAK İŞLETİM SİSTEMİ ş3</v>
      </c>
      <c r="F10" s="165">
        <f>DERS_PLANI!AD216</f>
        <v>0</v>
      </c>
    </row>
    <row r="11" spans="1:6" ht="24" customHeight="1">
      <c r="A11" s="190" t="s">
        <v>701</v>
      </c>
      <c r="B11" s="165" t="str">
        <f>DERS_PLANI!AD169</f>
        <v>MYO - BIL204 İNTERNET PROGRAMCILIĞI II Ş1</v>
      </c>
      <c r="C11" s="165" t="str">
        <f>DERS_PLANI!AD181</f>
        <v>MYO - BIL 215 Nesne Tabanli Programlama II Ş3</v>
      </c>
      <c r="D11" s="165" t="str">
        <f>DERS_PLANI!AD193</f>
        <v>MYO - BGT 106	AÇIK KAYNAK İŞLETİM SİSTEMİ ş1</v>
      </c>
      <c r="E11" s="165" t="str">
        <f>DERS_PLANI!AD205</f>
        <v>MYO - BGT 106	AÇIK KAYNAK İŞLETİM SİSTEMİ ş3</v>
      </c>
      <c r="F11" s="165">
        <f>DERS_PLANI!AD217</f>
        <v>0</v>
      </c>
    </row>
    <row r="12" spans="1:6" ht="24" customHeight="1">
      <c r="A12" s="190" t="s">
        <v>705</v>
      </c>
      <c r="B12" s="165">
        <f>DERS_PLANI!AD170</f>
        <v>0</v>
      </c>
      <c r="C12" s="165">
        <f>DERS_PLANI!AD182</f>
        <v>0</v>
      </c>
      <c r="D12" s="165">
        <f>DERS_PLANI!AD194</f>
        <v>0</v>
      </c>
      <c r="E12" s="165">
        <f>DERS_PLANI!AD206</f>
        <v>0</v>
      </c>
      <c r="F12" s="165">
        <f>DERS_PLANI!AD218</f>
        <v>0</v>
      </c>
    </row>
    <row r="13" spans="1:6" ht="24" customHeight="1">
      <c r="A13" s="190" t="s">
        <v>703</v>
      </c>
      <c r="B13" s="165">
        <f>DERS_PLANI!AD171</f>
        <v>0</v>
      </c>
      <c r="C13" s="165">
        <f>DERS_PLANI!AD183</f>
        <v>0</v>
      </c>
      <c r="D13" s="165">
        <f>DERS_PLANI!AD195</f>
        <v>0</v>
      </c>
      <c r="E13" s="165">
        <f>DERS_PLANI!AD207</f>
        <v>0</v>
      </c>
      <c r="F13" s="165">
        <f>DERS_PLANI!AD219</f>
        <v>0</v>
      </c>
    </row>
    <row r="14" spans="1:6" ht="24" customHeight="1">
      <c r="A14" s="190" t="s">
        <v>704</v>
      </c>
      <c r="B14" s="165">
        <f>DERS_PLANI!AD172</f>
        <v>0</v>
      </c>
      <c r="C14" s="165">
        <f>DERS_PLANI!AD184</f>
        <v>0</v>
      </c>
      <c r="D14" s="165">
        <f>DERS_PLANI!AD196</f>
        <v>0</v>
      </c>
      <c r="E14" s="165">
        <f>DERS_PLANI!AD208</f>
        <v>0</v>
      </c>
      <c r="F14" s="165">
        <f>DERS_PLANI!AD220</f>
        <v>0</v>
      </c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9E68-8F7C-4DA0-8A1E-FD5077A2E28F}">
  <dimension ref="A1:F14"/>
  <sheetViews>
    <sheetView topLeftCell="B1" workbookViewId="0">
      <selection activeCell="E9" sqref="E9"/>
    </sheetView>
  </sheetViews>
  <sheetFormatPr defaultColWidth="11" defaultRowHeight="15.95"/>
  <cols>
    <col min="1" max="1" width="12.5" customWidth="1"/>
    <col min="2" max="6" width="25.875" customWidth="1"/>
  </cols>
  <sheetData>
    <row r="1" spans="1:6" ht="33.950000000000003">
      <c r="A1" s="356" t="s">
        <v>731</v>
      </c>
      <c r="B1" s="357"/>
      <c r="C1" s="357"/>
      <c r="D1" s="357"/>
      <c r="E1" s="357"/>
      <c r="F1" s="358"/>
    </row>
    <row r="2" spans="1:6" ht="21">
      <c r="A2" s="128" t="s">
        <v>692</v>
      </c>
      <c r="B2" s="129" t="s">
        <v>137</v>
      </c>
      <c r="C2" s="129" t="s">
        <v>179</v>
      </c>
      <c r="D2" s="129" t="s">
        <v>212</v>
      </c>
      <c r="E2" s="129" t="s">
        <v>244</v>
      </c>
      <c r="F2" s="130" t="s">
        <v>279</v>
      </c>
    </row>
    <row r="3" spans="1:6" ht="24" customHeight="1">
      <c r="A3" s="190" t="s">
        <v>693</v>
      </c>
      <c r="B3" s="131">
        <f>DERS_PLANI!AC161</f>
        <v>0</v>
      </c>
      <c r="C3" s="131">
        <f>DERS_PLANI!AC173</f>
        <v>0</v>
      </c>
      <c r="D3" s="131">
        <f>DERS_PLANI!AC185</f>
        <v>0</v>
      </c>
      <c r="E3" s="131">
        <f>DERS_PLANI!AC197</f>
        <v>0</v>
      </c>
      <c r="F3" s="131">
        <f>DERS_PLANI!AC209</f>
        <v>0</v>
      </c>
    </row>
    <row r="4" spans="1:6" ht="24" customHeight="1">
      <c r="A4" s="190" t="s">
        <v>694</v>
      </c>
      <c r="B4" s="131">
        <f>DERS_PLANI!AC162</f>
        <v>0</v>
      </c>
      <c r="C4" s="131">
        <f>DERS_PLANI!AC174</f>
        <v>0</v>
      </c>
      <c r="D4" s="131">
        <f>DERS_PLANI!AC186</f>
        <v>0</v>
      </c>
      <c r="E4" s="131">
        <f>DERS_PLANI!AC198</f>
        <v>0</v>
      </c>
      <c r="F4" s="131">
        <f>DERS_PLANI!AC210</f>
        <v>0</v>
      </c>
    </row>
    <row r="5" spans="1:6" ht="24" customHeight="1">
      <c r="A5" s="190" t="s">
        <v>695</v>
      </c>
      <c r="B5" s="131">
        <f>DERS_PLANI!AC163</f>
        <v>0</v>
      </c>
      <c r="C5" s="131">
        <f>DERS_PLANI!AC175</f>
        <v>0</v>
      </c>
      <c r="D5" s="131">
        <f>DERS_PLANI!AC187</f>
        <v>0</v>
      </c>
      <c r="E5" s="131">
        <f>DERS_PLANI!AC199</f>
        <v>0</v>
      </c>
      <c r="F5" s="131">
        <f>DERS_PLANI!AC211</f>
        <v>0</v>
      </c>
    </row>
    <row r="6" spans="1:6" ht="24" customHeight="1">
      <c r="A6" s="190" t="s">
        <v>696</v>
      </c>
      <c r="B6" s="131">
        <f>DERS_PLANI!AC164</f>
        <v>0</v>
      </c>
      <c r="C6" s="131">
        <f>DERS_PLANI!AC176</f>
        <v>0</v>
      </c>
      <c r="D6" s="131">
        <f>DERS_PLANI!AC188</f>
        <v>0</v>
      </c>
      <c r="E6" s="131">
        <f>DERS_PLANI!AC200</f>
        <v>0</v>
      </c>
      <c r="F6" s="131">
        <f>DERS_PLANI!AC212</f>
        <v>0</v>
      </c>
    </row>
    <row r="7" spans="1:6" ht="24" customHeight="1">
      <c r="A7" s="190" t="s">
        <v>697</v>
      </c>
      <c r="B7" s="131">
        <f>DERS_PLANI!AC165</f>
        <v>0</v>
      </c>
      <c r="C7" s="131">
        <f>DERS_PLANI!AC177</f>
        <v>0</v>
      </c>
      <c r="D7" s="131">
        <f>DERS_PLANI!AC189</f>
        <v>0</v>
      </c>
      <c r="E7" s="131">
        <f>DERS_PLANI!AC201</f>
        <v>0</v>
      </c>
      <c r="F7" s="131">
        <f>DERS_PLANI!AC213</f>
        <v>0</v>
      </c>
    </row>
    <row r="8" spans="1:6" ht="24" customHeight="1">
      <c r="A8" s="190" t="s">
        <v>698</v>
      </c>
      <c r="B8" s="131">
        <f>DERS_PLANI!AC166</f>
        <v>0</v>
      </c>
      <c r="C8" s="131">
        <f>DERS_PLANI!AC178</f>
        <v>0</v>
      </c>
      <c r="D8" s="131">
        <f>DERS_PLANI!AC190</f>
        <v>0</v>
      </c>
      <c r="E8" s="131">
        <f>DERS_PLANI!AC202</f>
        <v>0</v>
      </c>
      <c r="F8" s="131">
        <f>DERS_PLANI!AC214</f>
        <v>0</v>
      </c>
    </row>
    <row r="9" spans="1:6" ht="24" customHeight="1">
      <c r="A9" s="190" t="s">
        <v>699</v>
      </c>
      <c r="B9" s="131">
        <f>DERS_PLANI!AC167</f>
        <v>0</v>
      </c>
      <c r="C9" s="131">
        <f>DERS_PLANI!AC179</f>
        <v>0</v>
      </c>
      <c r="D9" s="131">
        <f>DERS_PLANI!AC191</f>
        <v>0</v>
      </c>
      <c r="E9" s="131">
        <f>DERS_PLANI!AC203</f>
        <v>0</v>
      </c>
      <c r="F9" s="131">
        <f>DERS_PLANI!AC215</f>
        <v>0</v>
      </c>
    </row>
    <row r="10" spans="1:6" ht="24" customHeight="1">
      <c r="A10" s="190" t="s">
        <v>700</v>
      </c>
      <c r="B10" s="131">
        <f>DERS_PLANI!AC168</f>
        <v>0</v>
      </c>
      <c r="C10" s="131">
        <f>DERS_PLANI!AC180</f>
        <v>0</v>
      </c>
      <c r="D10" s="131">
        <f>DERS_PLANI!AC192</f>
        <v>0</v>
      </c>
      <c r="E10" s="131">
        <f>DERS_PLANI!AC204</f>
        <v>0</v>
      </c>
      <c r="F10" s="131">
        <f>DERS_PLANI!AC216</f>
        <v>0</v>
      </c>
    </row>
    <row r="11" spans="1:6" ht="24" customHeight="1">
      <c r="A11" s="190" t="s">
        <v>701</v>
      </c>
      <c r="B11" s="131">
        <f>DERS_PLANI!AC169</f>
        <v>0</v>
      </c>
      <c r="C11" s="131">
        <f>DERS_PLANI!AC181</f>
        <v>0</v>
      </c>
      <c r="D11" s="131">
        <f>DERS_PLANI!AC193</f>
        <v>0</v>
      </c>
      <c r="E11" s="131">
        <f>DERS_PLANI!AC205</f>
        <v>0</v>
      </c>
      <c r="F11" s="131">
        <f>DERS_PLANI!AC217</f>
        <v>0</v>
      </c>
    </row>
    <row r="12" spans="1:6" ht="24" customHeight="1">
      <c r="A12" s="190" t="s">
        <v>705</v>
      </c>
      <c r="B12" s="131">
        <f>DERS_PLANI!AC170</f>
        <v>0</v>
      </c>
      <c r="C12" s="131">
        <f>DERS_PLANI!AC182</f>
        <v>0</v>
      </c>
      <c r="D12" s="131">
        <f>DERS_PLANI!AC194</f>
        <v>0</v>
      </c>
      <c r="E12" s="131">
        <f>DERS_PLANI!AC206</f>
        <v>0</v>
      </c>
      <c r="F12" s="131">
        <f>DERS_PLANI!AC218</f>
        <v>0</v>
      </c>
    </row>
    <row r="13" spans="1:6" ht="24" customHeight="1">
      <c r="A13" s="190" t="s">
        <v>703</v>
      </c>
      <c r="B13" s="131">
        <f>DERS_PLANI!AC171</f>
        <v>0</v>
      </c>
      <c r="C13" s="131">
        <f>DERS_PLANI!AC183</f>
        <v>0</v>
      </c>
      <c r="D13" s="131">
        <f>DERS_PLANI!AC195</f>
        <v>0</v>
      </c>
      <c r="E13" s="131">
        <f>DERS_PLANI!AC207</f>
        <v>0</v>
      </c>
      <c r="F13" s="131">
        <f>DERS_PLANI!AC219</f>
        <v>0</v>
      </c>
    </row>
    <row r="14" spans="1:6" ht="24" customHeight="1">
      <c r="A14" s="190" t="s">
        <v>704</v>
      </c>
      <c r="B14" s="131">
        <f>DERS_PLANI!AC172</f>
        <v>0</v>
      </c>
      <c r="C14" s="131">
        <f>DERS_PLANI!AC184</f>
        <v>0</v>
      </c>
      <c r="D14" s="131">
        <f>DERS_PLANI!AC196</f>
        <v>0</v>
      </c>
      <c r="E14" s="131">
        <f>DERS_PLANI!AC208</f>
        <v>0</v>
      </c>
      <c r="F14" s="131">
        <f>DERS_PLANI!AC220</f>
        <v>0</v>
      </c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D3EA-2C8A-460B-A1D7-86141C104BBA}">
  <sheetPr>
    <pageSetUpPr fitToPage="1"/>
  </sheetPr>
  <dimension ref="A1:F15"/>
  <sheetViews>
    <sheetView topLeftCell="A2"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16.350000000000001" customHeight="1">
      <c r="A1" s="382"/>
      <c r="B1" s="382"/>
      <c r="C1" s="382"/>
      <c r="D1" s="382"/>
      <c r="E1" s="382"/>
      <c r="F1" s="382"/>
    </row>
    <row r="2" spans="1:6" ht="43.7" customHeight="1">
      <c r="A2" s="360" t="s">
        <v>90</v>
      </c>
      <c r="B2" s="360"/>
      <c r="C2" s="360"/>
      <c r="D2" s="360"/>
      <c r="E2" s="360"/>
      <c r="F2" s="361"/>
    </row>
    <row r="3" spans="1:6" ht="24" customHeight="1">
      <c r="A3" s="195" t="s">
        <v>692</v>
      </c>
      <c r="B3" s="62" t="s">
        <v>137</v>
      </c>
      <c r="C3" s="62" t="s">
        <v>179</v>
      </c>
      <c r="D3" s="62" t="s">
        <v>212</v>
      </c>
      <c r="E3" s="62" t="s">
        <v>244</v>
      </c>
      <c r="F3" s="63" t="s">
        <v>279</v>
      </c>
    </row>
    <row r="4" spans="1:6" ht="24" customHeight="1">
      <c r="A4" s="190" t="s">
        <v>693</v>
      </c>
      <c r="B4" s="164" t="str">
        <f>DERS_PLANI!Y161</f>
        <v xml:space="preserve">"YBS 142 JAVA 
DOÇ.DR.GÜNEY GÜRSEL"
</v>
      </c>
      <c r="C4" s="164" t="str">
        <f>DERS_PLANI!Y173</f>
        <v>MYO - BIL 215 Nesne 
Tabanli Programlama II Ş2</v>
      </c>
      <c r="D4" s="164">
        <f>DERS_PLANI!Y185</f>
        <v>0</v>
      </c>
      <c r="E4" s="164" t="str">
        <f>DERS_PLANI!Y197</f>
        <v>MYO - BGT222 Veri Madenciliğİ</v>
      </c>
      <c r="F4" s="164">
        <f>DERS_PLANI!Y209</f>
        <v>0</v>
      </c>
    </row>
    <row r="5" spans="1:6" ht="24" customHeight="1">
      <c r="A5" s="190" t="s">
        <v>694</v>
      </c>
      <c r="B5" s="164" t="str">
        <f>DERS_PLANI!Y162</f>
        <v>EEE 306 (Lab) - Sec 1 (Mahmut Mol)
"YBS 142 JAVA 
DOÇ.DR.GÜNEY GÜRSEL"</v>
      </c>
      <c r="C5" s="164" t="str">
        <f>DERS_PLANI!Y174</f>
        <v>MYO - BIL 215 Nesne
 Tabanli Programlama II Ş2</v>
      </c>
      <c r="D5" s="164" t="str">
        <f>DERS_PLANI!Y186</f>
        <v>CENG 332 (Lab) - Sec 1</v>
      </c>
      <c r="E5" s="164" t="str">
        <f>DERS_PLANI!Y198</f>
        <v>MYO - BGT222 Veri Madenciliğİ</v>
      </c>
      <c r="F5" s="164" t="str">
        <f>DERS_PLANI!Y210</f>
        <v>CENG 332 (Lab) - Sec 1</v>
      </c>
    </row>
    <row r="6" spans="1:6" ht="24" customHeight="1">
      <c r="A6" s="190" t="s">
        <v>695</v>
      </c>
      <c r="B6" s="164" t="str">
        <f>DERS_PLANI!Y163</f>
        <v>EEE 306 (Lab) - Sec 1 (Mahmut Mol)
"YBS 142 JAVA 
DOÇ.DR.GÜNEY GÜRSEL"</v>
      </c>
      <c r="C6" s="164" t="str">
        <f>DERS_PLANI!Y175</f>
        <v>MYO - BIL 215 Nesne 
Tabanli Programlama II Ş2</v>
      </c>
      <c r="D6" s="164" t="str">
        <f>DERS_PLANI!Y187</f>
        <v>CENG 332 (Lab) - Sec 1</v>
      </c>
      <c r="E6" s="164" t="str">
        <f>DERS_PLANI!Y199</f>
        <v>MYO - BGT222 Veri Madenciliğİ</v>
      </c>
      <c r="F6" s="164" t="str">
        <f>DERS_PLANI!Y211</f>
        <v>CENG 332 (Lab) - Sec 1</v>
      </c>
    </row>
    <row r="7" spans="1:6" ht="24" customHeight="1">
      <c r="A7" s="190" t="s">
        <v>696</v>
      </c>
      <c r="B7" s="164" t="str">
        <f>DERS_PLANI!Y164</f>
        <v>YBS 142 JAVA 
DOÇ.DR.GÜNEY GÜRSEL</v>
      </c>
      <c r="C7" s="164" t="str">
        <f>DERS_PLANI!Y176</f>
        <v>CENG 213 (Teorik) - Sec 1 (Yüksel Arslan)</v>
      </c>
      <c r="D7" s="164" t="str">
        <f>DERS_PLANI!Y188</f>
        <v xml:space="preserve">MYO - BIL204	İNTERNET PROGRAMCILIĞI II Ş2 </v>
      </c>
      <c r="E7" s="164" t="str">
        <f>DERS_PLANI!Y200</f>
        <v>MYO - BGT 104	SANALLAŞTIRMA VE BULUT TEKNOLOJİLERİ Ş2</v>
      </c>
      <c r="F7" s="164">
        <f>DERS_PLANI!Y212</f>
        <v>0</v>
      </c>
    </row>
    <row r="8" spans="1:6" ht="24" customHeight="1">
      <c r="A8" s="190" t="s">
        <v>697</v>
      </c>
      <c r="B8" s="164" t="str">
        <f>DERS_PLANI!Y165</f>
        <v>YBS 142 JAVA 
DOÇ.DR.GÜNEY GÜRSEL</v>
      </c>
      <c r="C8" s="164" t="str">
        <f>DERS_PLANI!Y177</f>
        <v>CENG 213 (Teorik) - Sec 1 (Yüksel Arslan)</v>
      </c>
      <c r="D8" s="164" t="str">
        <f>DERS_PLANI!Y189</f>
        <v xml:space="preserve">MYO - BIL204	İNTERNET PROGRAMCILIĞI II Ş2 </v>
      </c>
      <c r="E8" s="164" t="str">
        <f>DERS_PLANI!Y201</f>
        <v>MYO - BGT 104	SANALLAŞTIRMA VE BULUT TEKNOLOJİLERİ Ş2</v>
      </c>
      <c r="F8" s="164">
        <f>DERS_PLANI!Y213</f>
        <v>0</v>
      </c>
    </row>
    <row r="9" spans="1:6" ht="24" customHeight="1">
      <c r="A9" s="190" t="s">
        <v>698</v>
      </c>
      <c r="B9" s="164" t="str">
        <f>DERS_PLANI!Y166</f>
        <v>YBS 142 JAVA 
DOÇ.DR.GÜNEY GÜRSEL</v>
      </c>
      <c r="C9" s="164" t="str">
        <f>DERS_PLANI!Y178</f>
        <v>CENG 213 (Teorik) - Sec 1 (Yüksel Arslan)</v>
      </c>
      <c r="D9" s="164" t="str">
        <f>DERS_PLANI!Y190</f>
        <v xml:space="preserve">MYO - BIL204	İNTERNET PROGRAMCILIĞI II Ş2 </v>
      </c>
      <c r="E9" s="164" t="str">
        <f>DERS_PLANI!Y202</f>
        <v>MYO - BGT 104	SANALLAŞTIRMA VE BULUT TEKNOLOJİLERİ Ş2</v>
      </c>
      <c r="F9" s="164">
        <f>DERS_PLANI!Y214</f>
        <v>0</v>
      </c>
    </row>
    <row r="10" spans="1:6" ht="24" customHeight="1">
      <c r="A10" s="190" t="s">
        <v>699</v>
      </c>
      <c r="B10" s="164" t="str">
        <f>DERS_PLANI!Y167</f>
        <v>YBS 142 JAVA 
DOÇ.DR.GÜNEY GÜRSEL</v>
      </c>
      <c r="C10" s="164" t="str">
        <f>DERS_PLANI!Y179</f>
        <v>MYO - BIL210 VERİ YAPILARI Ş2</v>
      </c>
      <c r="D10" s="164" t="str">
        <f>DERS_PLANI!Y191</f>
        <v>MYO - BIL206	GÖMÜLÜ SİSTEMLER ş2</v>
      </c>
      <c r="E10" s="164">
        <f>DERS_PLANI!Y203</f>
        <v>0</v>
      </c>
      <c r="F10" s="164" t="str">
        <f>DERS_PLANI!Y215</f>
        <v>BM 332 (Lab) - Sec 1</v>
      </c>
    </row>
    <row r="11" spans="1:6" ht="24" customHeight="1">
      <c r="A11" s="190" t="s">
        <v>700</v>
      </c>
      <c r="B11" s="164" t="str">
        <f>DERS_PLANI!Y168</f>
        <v>YBS 142 JAVA 
DOÇ.DR.GÜNEY GÜRSEL</v>
      </c>
      <c r="C11" s="164" t="str">
        <f>DERS_PLANI!Y180</f>
        <v>MYO - BIL210 VERİ YAPILARI Ş2</v>
      </c>
      <c r="D11" s="164" t="str">
        <f>DERS_PLANI!Y192</f>
        <v>MYO - BIL206	GÖMÜLÜ SİSTEMLER ş2</v>
      </c>
      <c r="E11" s="164">
        <f>DERS_PLANI!Y204</f>
        <v>0</v>
      </c>
      <c r="F11" s="164" t="str">
        <f>DERS_PLANI!Y216</f>
        <v>BM 332 (Lab) - Sec 1</v>
      </c>
    </row>
    <row r="12" spans="1:6" ht="24" customHeight="1">
      <c r="A12" s="190" t="s">
        <v>701</v>
      </c>
      <c r="B12" s="164" t="str">
        <f>DERS_PLANI!Y169</f>
        <v>İTBF</v>
      </c>
      <c r="C12" s="164" t="str">
        <f>DERS_PLANI!Y181</f>
        <v>MYO - BIL210 VERİ YAPILARI Ş2</v>
      </c>
      <c r="D12" s="164" t="str">
        <f>DERS_PLANI!Y193</f>
        <v>MYO - BIL206	GÖMÜLÜ SİSTEMLER ş2</v>
      </c>
      <c r="E12" s="164">
        <f>DERS_PLANI!Y205</f>
        <v>0</v>
      </c>
      <c r="F12" s="164">
        <f>DERS_PLANI!Y217</f>
        <v>0</v>
      </c>
    </row>
    <row r="13" spans="1:6" ht="24" customHeight="1">
      <c r="A13" s="190" t="s">
        <v>705</v>
      </c>
      <c r="B13" s="164" t="str">
        <f>DERS_PLANI!Y170</f>
        <v>İTBF</v>
      </c>
      <c r="C13" s="164">
        <f>DERS_PLANI!Y182</f>
        <v>0</v>
      </c>
      <c r="D13" s="164">
        <f>DERS_PLANI!Y194</f>
        <v>0</v>
      </c>
      <c r="E13" s="164">
        <f>DERS_PLANI!Y206</f>
        <v>0</v>
      </c>
      <c r="F13" s="164">
        <f>DERS_PLANI!Y218</f>
        <v>0</v>
      </c>
    </row>
    <row r="14" spans="1:6" ht="24" customHeight="1">
      <c r="A14" s="190" t="s">
        <v>703</v>
      </c>
      <c r="B14" s="164" t="str">
        <f>DERS_PLANI!Y171</f>
        <v>İTBF</v>
      </c>
      <c r="C14" s="164">
        <f>DERS_PLANI!Y183</f>
        <v>0</v>
      </c>
      <c r="D14" s="164">
        <f>DERS_PLANI!Y195</f>
        <v>0</v>
      </c>
      <c r="E14" s="164">
        <f>DERS_PLANI!Y207</f>
        <v>0</v>
      </c>
      <c r="F14" s="164">
        <f>DERS_PLANI!Y219</f>
        <v>0</v>
      </c>
    </row>
    <row r="15" spans="1:6" ht="24" customHeight="1">
      <c r="A15" s="190" t="s">
        <v>704</v>
      </c>
      <c r="B15" s="164" t="str">
        <f>DERS_PLANI!Y172</f>
        <v>İTBF</v>
      </c>
      <c r="C15" s="164">
        <f>DERS_PLANI!Y184</f>
        <v>0</v>
      </c>
      <c r="D15" s="164">
        <f>DERS_PLANI!Y196</f>
        <v>0</v>
      </c>
      <c r="E15" s="164">
        <f>DERS_PLANI!Y208</f>
        <v>0</v>
      </c>
      <c r="F15" s="164">
        <f>DERS_PLANI!Y220</f>
        <v>0</v>
      </c>
    </row>
  </sheetData>
  <mergeCells count="2">
    <mergeCell ref="A2:F2"/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4977-A8EC-40DC-890B-E3AF295F742C}">
  <sheetPr>
    <pageSetUpPr fitToPage="1"/>
  </sheetPr>
  <dimension ref="A1:F23"/>
  <sheetViews>
    <sheetView workbookViewId="0">
      <selection activeCell="E10" sqref="E10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89</v>
      </c>
      <c r="B1" s="354"/>
      <c r="C1" s="354"/>
      <c r="D1" s="354"/>
      <c r="E1" s="354"/>
      <c r="F1" s="355"/>
    </row>
    <row r="2" spans="1:6" ht="24" customHeight="1">
      <c r="A2" s="137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176" t="str">
        <f>DERS_PLANI!X161</f>
        <v>MYO - BIL 122 JAVA İLE PROGRAMLAMA II Ş1</v>
      </c>
      <c r="C3" s="164" t="str">
        <f>DERS_PLANI!X173</f>
        <v>MYO - ETP 202 MÜŞTERİ İLİŞKİLERİ YÖNETİMİ</v>
      </c>
      <c r="D3" s="164" t="str">
        <f>DERS_PLANI!X185</f>
        <v>MYO - BGT230 Blokzincir ve Güvenliği</v>
      </c>
      <c r="E3" s="164" t="str">
        <f>DERS_PLANI!X197</f>
        <v>MYO - ETP223 Uluslararası Pazarlama</v>
      </c>
      <c r="F3" s="164">
        <f>DERS_PLANI!X209</f>
        <v>0</v>
      </c>
    </row>
    <row r="4" spans="1:6" ht="24" customHeight="1">
      <c r="A4" s="190" t="s">
        <v>694</v>
      </c>
      <c r="B4" s="176" t="str">
        <f>DERS_PLANI!X162</f>
        <v>MYO - BIL 122 JAVA İLE PROGRAMLAMA II Ş1</v>
      </c>
      <c r="C4" s="164" t="str">
        <f>DERS_PLANI!X174</f>
        <v>MYO - ETP 202 MÜŞTERİ İLİŞKİLERİ YÖNETİMİ</v>
      </c>
      <c r="D4" s="164" t="str">
        <f>DERS_PLANI!X186</f>
        <v>MYO - BGT230 Blokzincir ve Güvenliği</v>
      </c>
      <c r="E4" s="164" t="str">
        <f>DERS_PLANI!X198</f>
        <v>MYO - ETP223 Uluslararası Pazarlama</v>
      </c>
      <c r="F4" s="164">
        <f>DERS_PLANI!X210</f>
        <v>0</v>
      </c>
    </row>
    <row r="5" spans="1:6" ht="24" customHeight="1">
      <c r="A5" s="190" t="s">
        <v>695</v>
      </c>
      <c r="B5" s="176" t="str">
        <f>DERS_PLANI!X163</f>
        <v>MYO - BIL 122 JAVA İLE PROGRAMLAMA II Ş1</v>
      </c>
      <c r="C5" s="164" t="str">
        <f>DERS_PLANI!X175</f>
        <v>MYO - ETP 202 MÜŞTERİ İLİŞKİLERİ YÖNETİMİ</v>
      </c>
      <c r="D5" s="164" t="str">
        <f>DERS_PLANI!X187</f>
        <v>MYO - BGT230 Blokzincir ve Güvenliği</v>
      </c>
      <c r="E5" s="164" t="str">
        <f>DERS_PLANI!X199</f>
        <v>MYO - ETP223 Uluslararası Pazarlama</v>
      </c>
      <c r="F5" s="164">
        <f>DERS_PLANI!X211</f>
        <v>0</v>
      </c>
    </row>
    <row r="6" spans="1:6" ht="24" customHeight="1">
      <c r="A6" s="190" t="s">
        <v>696</v>
      </c>
      <c r="B6" s="176" t="str">
        <f>DERS_PLANI!X164</f>
        <v>MYO - BIL 122 JAVA İLE PROGRAMLAMA II Ş2</v>
      </c>
      <c r="C6" s="164" t="str">
        <f>DERS_PLANI!X176</f>
        <v>MYO -  BGT206	Kriptolojinin Temeller</v>
      </c>
      <c r="D6" s="164" t="str">
        <f>DERS_PLANI!X188</f>
        <v>MYO - ETP 108 YENİ MEDYA VE REKLAM ş1</v>
      </c>
      <c r="E6" s="164" t="str">
        <f>DERS_PLANI!X200</f>
        <v>MYO - ETP 208 GİRİŞİMCİLİK</v>
      </c>
      <c r="F6" s="164">
        <f>DERS_PLANI!X212</f>
        <v>0</v>
      </c>
    </row>
    <row r="7" spans="1:6" ht="24" customHeight="1">
      <c r="A7" s="190" t="s">
        <v>697</v>
      </c>
      <c r="B7" s="176" t="str">
        <f>DERS_PLANI!X165</f>
        <v>MYO - BIL 122 JAVA İLE PROGRAMLAMA II Ş2</v>
      </c>
      <c r="C7" s="164" t="str">
        <f>DERS_PLANI!X177</f>
        <v>MYO -  BGT206	Kriptolojinin Temeller</v>
      </c>
      <c r="D7" s="164" t="str">
        <f>DERS_PLANI!X189</f>
        <v>MYO - ETP 108 YENİ MEDYA VE REKLAM ş2</v>
      </c>
      <c r="E7" s="164" t="str">
        <f>DERS_PLANI!X201</f>
        <v>MYO - ETP 208 GİRİŞİMCİLİK</v>
      </c>
      <c r="F7" s="164">
        <f>DERS_PLANI!X213</f>
        <v>0</v>
      </c>
    </row>
    <row r="8" spans="1:6" ht="24" customHeight="1">
      <c r="A8" s="190" t="s">
        <v>698</v>
      </c>
      <c r="B8" s="176" t="str">
        <f>DERS_PLANI!X166</f>
        <v>MYO - BIL 122 JAVA İLE PROGRAMLAMA II Ş2</v>
      </c>
      <c r="C8" s="164" t="str">
        <f>DERS_PLANI!X178</f>
        <v>MYO -  BGT206	Kriptolojinin Temeller</v>
      </c>
      <c r="D8" s="164" t="str">
        <f>DERS_PLANI!X190</f>
        <v>MYO - ETP 108 YENİ MEDYA VE REKLAM ş3</v>
      </c>
      <c r="E8" s="164" t="str">
        <f>DERS_PLANI!X202</f>
        <v>MYO - ETP 208 GİRİŞİMCİLİK</v>
      </c>
      <c r="F8" s="164">
        <f>DERS_PLANI!X214</f>
        <v>0</v>
      </c>
    </row>
    <row r="9" spans="1:6" ht="24" customHeight="1">
      <c r="A9" s="190" t="s">
        <v>699</v>
      </c>
      <c r="B9" s="176">
        <f>DERS_PLANI!X167</f>
        <v>0</v>
      </c>
      <c r="C9" s="164" t="str">
        <f>DERS_PLANI!AJ179</f>
        <v>MYO - ETP 110 İŞLETME YÖNETİMİ</v>
      </c>
      <c r="D9" s="164">
        <f>DERS_PLANI!X191</f>
        <v>0</v>
      </c>
      <c r="E9" s="164">
        <f>DERS_PLANI!X203</f>
        <v>0</v>
      </c>
      <c r="F9" s="164">
        <f>DERS_PLANI!X215</f>
        <v>0</v>
      </c>
    </row>
    <row r="10" spans="1:6" ht="24" customHeight="1">
      <c r="A10" s="190" t="s">
        <v>700</v>
      </c>
      <c r="B10" s="176">
        <f>DERS_PLANI!X168</f>
        <v>0</v>
      </c>
      <c r="C10" s="164" t="str">
        <f>DERS_PLANI!AJ180</f>
        <v>MYO - ETP 110 İŞLETME YÖNETİMİ</v>
      </c>
      <c r="D10" s="164">
        <f>DERS_PLANI!X192</f>
        <v>0</v>
      </c>
      <c r="E10" s="164">
        <f>DERS_PLANI!X204</f>
        <v>0</v>
      </c>
      <c r="F10" s="164">
        <f>DERS_PLANI!X216</f>
        <v>0</v>
      </c>
    </row>
    <row r="11" spans="1:6" ht="24" customHeight="1">
      <c r="A11" s="190" t="s">
        <v>701</v>
      </c>
      <c r="B11" s="176">
        <f>DERS_PLANI!X169</f>
        <v>0</v>
      </c>
      <c r="C11" s="164" t="str">
        <f>DERS_PLANI!AJ181</f>
        <v>MYO - ETP 110 İŞLETME YÖNETİMİ</v>
      </c>
      <c r="D11" s="164">
        <f>DERS_PLANI!X193</f>
        <v>0</v>
      </c>
      <c r="E11" s="164">
        <f>DERS_PLANI!X205</f>
        <v>0</v>
      </c>
      <c r="F11" s="164">
        <f>DERS_PLANI!X217</f>
        <v>0</v>
      </c>
    </row>
    <row r="12" spans="1:6" ht="24" customHeight="1">
      <c r="A12" s="190" t="s">
        <v>705</v>
      </c>
      <c r="B12" s="176">
        <f>DERS_PLANI!X170</f>
        <v>0</v>
      </c>
      <c r="C12" s="164">
        <f>DERS_PLANI!X182</f>
        <v>0</v>
      </c>
      <c r="D12" s="164">
        <f>DERS_PLANI!X194</f>
        <v>0</v>
      </c>
      <c r="E12" s="164">
        <f>DERS_PLANI!X206</f>
        <v>0</v>
      </c>
      <c r="F12" s="164">
        <f>DERS_PLANI!X218</f>
        <v>0</v>
      </c>
    </row>
    <row r="13" spans="1:6" ht="24" customHeight="1">
      <c r="A13" s="190" t="s">
        <v>703</v>
      </c>
      <c r="B13" s="176">
        <f>DERS_PLANI!X171</f>
        <v>0</v>
      </c>
      <c r="C13" s="164">
        <f>DERS_PLANI!X183</f>
        <v>0</v>
      </c>
      <c r="D13" s="164">
        <f>DERS_PLANI!X195</f>
        <v>0</v>
      </c>
      <c r="E13" s="164">
        <f>DERS_PLANI!X207</f>
        <v>0</v>
      </c>
      <c r="F13" s="164">
        <f>DERS_PLANI!X219</f>
        <v>0</v>
      </c>
    </row>
    <row r="14" spans="1:6" ht="24" customHeight="1">
      <c r="A14" s="190" t="s">
        <v>704</v>
      </c>
      <c r="B14" s="176">
        <f>DERS_PLANI!X172</f>
        <v>0</v>
      </c>
      <c r="C14" s="164">
        <f>DERS_PLANI!X184</f>
        <v>0</v>
      </c>
      <c r="D14" s="164">
        <f>DERS_PLANI!X196</f>
        <v>0</v>
      </c>
      <c r="E14" s="164">
        <f>DERS_PLANI!X208</f>
        <v>0</v>
      </c>
      <c r="F14" s="164">
        <f>DERS_PLANI!X220</f>
        <v>0</v>
      </c>
    </row>
    <row r="15" spans="1:6">
      <c r="A15" s="135"/>
    </row>
    <row r="16" spans="1:6">
      <c r="A16" s="135"/>
    </row>
    <row r="18" spans="1:1">
      <c r="A18" s="136"/>
    </row>
    <row r="19" spans="1:1">
      <c r="A19" s="135"/>
    </row>
    <row r="20" spans="1:1">
      <c r="A20" s="135"/>
    </row>
    <row r="21" spans="1:1">
      <c r="A21" s="135"/>
    </row>
    <row r="23" spans="1:1">
      <c r="A23" s="136"/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5FE5-9757-438C-81E7-3D544C5B91A1}">
  <sheetPr>
    <pageSetUpPr fitToPage="1"/>
  </sheetPr>
  <dimension ref="A1:F14"/>
  <sheetViews>
    <sheetView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86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164" t="str">
        <f>DERS_PLANI!W161</f>
        <v>ISE 222 (Teorik) - Sec 1 (Didem Tufan)</v>
      </c>
      <c r="C3" s="164" t="str">
        <f>DERS_PLANI!W173</f>
        <v>EEE 332 (Teorik) - Sec 1 (Ataberk Necati)</v>
      </c>
      <c r="D3" s="164" t="str">
        <f>DERS_PLANI!W185</f>
        <v>EEE 455 (Teorik) - Sec 1 (Yusuf Uzun)</v>
      </c>
      <c r="E3" s="164" t="str">
        <f>DERS_PLANI!W197</f>
        <v>ISE 332 (Teorik) - Sec 1 (Didem Tufan)</v>
      </c>
      <c r="F3" s="164">
        <f>DERS_PLANI!W209</f>
        <v>0</v>
      </c>
    </row>
    <row r="4" spans="1:6" ht="24" customHeight="1">
      <c r="A4" s="190" t="s">
        <v>694</v>
      </c>
      <c r="B4" s="164" t="str">
        <f>DERS_PLANI!W162</f>
        <v>ISE 222 (Teorik) - Sec 1 (Didem Tufan)</v>
      </c>
      <c r="C4" s="164" t="str">
        <f>DERS_PLANI!W174</f>
        <v>EEE 332 (Teorik) - Sec 1 (Ataberk Necati)</v>
      </c>
      <c r="D4" s="164" t="str">
        <f>DERS_PLANI!W186</f>
        <v>EEE 455 (Teorik) - Sec 1 (Yusuf Uzun)</v>
      </c>
      <c r="E4" s="164" t="str">
        <f>DERS_PLANI!W198</f>
        <v>ISE 332 (Teorik) - Sec 1 (Didem Tufan)</v>
      </c>
      <c r="F4" s="164">
        <f>DERS_PLANI!W210</f>
        <v>0</v>
      </c>
    </row>
    <row r="5" spans="1:6" ht="24" customHeight="1">
      <c r="A5" s="190" t="s">
        <v>695</v>
      </c>
      <c r="B5" s="164" t="str">
        <f>DERS_PLANI!W163</f>
        <v>ISE 222 (Teorik) - Sec 1 (Didem Tufan)</v>
      </c>
      <c r="C5" s="164" t="str">
        <f>DERS_PLANI!W175</f>
        <v>EEE 332 (Teorik) - Sec 1 (Ataberk Necati)</v>
      </c>
      <c r="D5" s="164" t="str">
        <f>DERS_PLANI!W187</f>
        <v>EEE 455 (Teorik) - Sec 1 (Yusuf Uzun)</v>
      </c>
      <c r="E5" s="164" t="str">
        <f>DERS_PLANI!W199</f>
        <v>ISE 332 (Teorik) - Sec 1 (Didem Tufan)</v>
      </c>
      <c r="F5" s="164">
        <f>DERS_PLANI!W211</f>
        <v>0</v>
      </c>
    </row>
    <row r="6" spans="1:6" ht="24" customHeight="1">
      <c r="A6" s="190" t="s">
        <v>696</v>
      </c>
      <c r="B6" s="164" t="str">
        <f>DERS_PLANI!W164</f>
        <v>BM 384 (Teorik) - Sec 1 (Mustafa İlarslan)</v>
      </c>
      <c r="C6" s="164" t="str">
        <f>DERS_PLANI!W176</f>
        <v>EEE 484 (Teorik) - Sec 1 (Ataberk Necati)</v>
      </c>
      <c r="D6" s="164" t="str">
        <f>DERS_PLANI!W188</f>
        <v>ISE 350/SENG 413 (Teorik) - Sec 1 (Ender Sevinç)</v>
      </c>
      <c r="E6" s="164" t="str">
        <f>DERS_PLANI!W200</f>
        <v>BM 424 (Teorik) - Sec 1 (Halil Özmen)</v>
      </c>
      <c r="F6" s="164">
        <f>DERS_PLANI!W212</f>
        <v>0</v>
      </c>
    </row>
    <row r="7" spans="1:6" ht="24" customHeight="1">
      <c r="A7" s="190" t="s">
        <v>697</v>
      </c>
      <c r="B7" s="164" t="str">
        <f>DERS_PLANI!W165</f>
        <v>BM 384 (Teorik) - Sec 1 (Mustafa İlarslan)</v>
      </c>
      <c r="C7" s="164" t="str">
        <f>DERS_PLANI!W177</f>
        <v>EEE 484 (Teorik) - Sec 1 (Ataberk Necati)</v>
      </c>
      <c r="D7" s="164" t="str">
        <f>DERS_PLANI!W189</f>
        <v>ISE 350/SENG 413 (Teorik) - Sec 1 (Ender Sevinç)</v>
      </c>
      <c r="E7" s="164" t="str">
        <f>DERS_PLANI!W201</f>
        <v>BM 424 (Teorik) - Sec 1 (Halil Özmen)</v>
      </c>
      <c r="F7" s="164">
        <f>DERS_PLANI!W213</f>
        <v>0</v>
      </c>
    </row>
    <row r="8" spans="1:6" ht="24" customHeight="1">
      <c r="A8" s="190" t="s">
        <v>698</v>
      </c>
      <c r="B8" s="164" t="str">
        <f>DERS_PLANI!W166</f>
        <v>BM 384 (Teorik) - Sec 1 (Mustafa İlarslan)</v>
      </c>
      <c r="C8" s="164" t="str">
        <f>DERS_PLANI!W178</f>
        <v>EEE 484 (Teorik) - Sec 1 (Ataberk Necati)</v>
      </c>
      <c r="D8" s="164" t="str">
        <f>DERS_PLANI!W190</f>
        <v>ISE 350/SENG 413 (Teorik) - Sec 1 (Ender Sevinç)</v>
      </c>
      <c r="E8" s="164" t="str">
        <f>DERS_PLANI!W202</f>
        <v>BM 424 (Teorik) - Sec 1 (Halil Özmen)</v>
      </c>
      <c r="F8" s="164">
        <f>DERS_PLANI!W214</f>
        <v>0</v>
      </c>
    </row>
    <row r="9" spans="1:6" ht="24" customHeight="1">
      <c r="A9" s="190" t="s">
        <v>699</v>
      </c>
      <c r="B9" s="164">
        <f>DERS_PLANI!W167</f>
        <v>0</v>
      </c>
      <c r="C9" s="164">
        <f>DERS_PLANI!W179</f>
        <v>0</v>
      </c>
      <c r="D9" s="164" t="str">
        <f>DERS_PLANI!W191</f>
        <v>BM 264 (Teorik) - Sec 1 (Sarper Alkan)</v>
      </c>
      <c r="E9" s="164">
        <f>DERS_PLANI!W203</f>
        <v>0</v>
      </c>
      <c r="F9" s="164">
        <f>DERS_PLANI!W215</f>
        <v>0</v>
      </c>
    </row>
    <row r="10" spans="1:6" ht="24" customHeight="1">
      <c r="A10" s="190" t="s">
        <v>700</v>
      </c>
      <c r="B10" s="164">
        <f>DERS_PLANI!W168</f>
        <v>0</v>
      </c>
      <c r="C10" s="164">
        <f>DERS_PLANI!W180</f>
        <v>0</v>
      </c>
      <c r="D10" s="164" t="str">
        <f>DERS_PLANI!W192</f>
        <v>BM 264 (Teorik) - Sec 1 (Sarper Alkan)</v>
      </c>
      <c r="E10" s="164">
        <f>DERS_PLANI!W204</f>
        <v>0</v>
      </c>
      <c r="F10" s="164">
        <f>DERS_PLANI!W216</f>
        <v>0</v>
      </c>
    </row>
    <row r="11" spans="1:6" ht="24" customHeight="1">
      <c r="A11" s="190" t="s">
        <v>701</v>
      </c>
      <c r="B11" s="164">
        <f>DERS_PLANI!W169</f>
        <v>0</v>
      </c>
      <c r="C11" s="164">
        <f>DERS_PLANI!W181</f>
        <v>0</v>
      </c>
      <c r="D11" s="164" t="str">
        <f>DERS_PLANI!W193</f>
        <v>BM 264 (Teorik) - Sec 1 (Sarper Alkan)</v>
      </c>
      <c r="E11" s="164">
        <f>DERS_PLANI!W205</f>
        <v>0</v>
      </c>
      <c r="F11" s="164">
        <f>DERS_PLANI!W217</f>
        <v>0</v>
      </c>
    </row>
    <row r="12" spans="1:6" ht="24" customHeight="1">
      <c r="A12" s="190" t="s">
        <v>705</v>
      </c>
      <c r="B12" s="164">
        <f>DERS_PLANI!W170</f>
        <v>0</v>
      </c>
      <c r="C12" s="164">
        <f>DERS_PLANI!W182</f>
        <v>0</v>
      </c>
      <c r="D12" s="164">
        <f>DERS_PLANI!W194</f>
        <v>0</v>
      </c>
      <c r="E12" s="164">
        <f>DERS_PLANI!W206</f>
        <v>0</v>
      </c>
      <c r="F12" s="164">
        <f>DERS_PLANI!W218</f>
        <v>0</v>
      </c>
    </row>
    <row r="13" spans="1:6" ht="24" customHeight="1">
      <c r="A13" s="190" t="s">
        <v>703</v>
      </c>
      <c r="B13" s="164">
        <f>DERS_PLANI!W171</f>
        <v>0</v>
      </c>
      <c r="C13" s="164">
        <f>DERS_PLANI!W183</f>
        <v>0</v>
      </c>
      <c r="D13" s="164">
        <f>DERS_PLANI!W195</f>
        <v>0</v>
      </c>
      <c r="E13" s="164">
        <f>DERS_PLANI!W207</f>
        <v>0</v>
      </c>
      <c r="F13" s="164">
        <f>DERS_PLANI!W219</f>
        <v>0</v>
      </c>
    </row>
    <row r="14" spans="1:6" ht="24" customHeight="1">
      <c r="A14" s="190" t="s">
        <v>704</v>
      </c>
      <c r="B14" s="164">
        <f>DERS_PLANI!W172</f>
        <v>0</v>
      </c>
      <c r="C14" s="164">
        <f>DERS_PLANI!W184</f>
        <v>0</v>
      </c>
      <c r="D14" s="164">
        <f>DERS_PLANI!W196</f>
        <v>0</v>
      </c>
      <c r="E14" s="164">
        <f>DERS_PLANI!W208</f>
        <v>0</v>
      </c>
      <c r="F14" s="164">
        <f>DERS_PLANI!W220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DFFD-9707-40F4-AF3E-A4E7846161E7}">
  <sheetPr>
    <pageSetUpPr fitToPage="1"/>
  </sheetPr>
  <dimension ref="A1:F14"/>
  <sheetViews>
    <sheetView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76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66">
        <f>DERS_PLANI!U161</f>
        <v>0</v>
      </c>
      <c r="C3" s="66">
        <f>DERS_PLANI!U173</f>
        <v>0</v>
      </c>
      <c r="D3" s="66">
        <f>DERS_PLANI!U185</f>
        <v>0</v>
      </c>
      <c r="E3" s="66">
        <f>DERS_PLANI!U197</f>
        <v>0</v>
      </c>
      <c r="F3" s="66">
        <f>DERS_PLANI!U209</f>
        <v>0</v>
      </c>
    </row>
    <row r="4" spans="1:6" ht="24" customHeight="1">
      <c r="A4" s="190" t="s">
        <v>694</v>
      </c>
      <c r="B4" s="66">
        <f>DERS_PLANI!U162</f>
        <v>0</v>
      </c>
      <c r="C4" s="66">
        <f>DERS_PLANI!U174</f>
        <v>0</v>
      </c>
      <c r="D4" s="66">
        <f>DERS_PLANI!U186</f>
        <v>0</v>
      </c>
      <c r="E4" s="66">
        <f>DERS_PLANI!U198</f>
        <v>0</v>
      </c>
      <c r="F4" s="66">
        <f>DERS_PLANI!U210</f>
        <v>0</v>
      </c>
    </row>
    <row r="5" spans="1:6" ht="24" customHeight="1">
      <c r="A5" s="190" t="s">
        <v>695</v>
      </c>
      <c r="B5" s="66">
        <f>DERS_PLANI!U163</f>
        <v>0</v>
      </c>
      <c r="C5" s="66">
        <f>DERS_PLANI!U175</f>
        <v>0</v>
      </c>
      <c r="D5" s="66">
        <f>DERS_PLANI!U187</f>
        <v>0</v>
      </c>
      <c r="E5" s="66">
        <f>DERS_PLANI!U199</f>
        <v>0</v>
      </c>
      <c r="F5" s="66">
        <f>DERS_PLANI!U211</f>
        <v>0</v>
      </c>
    </row>
    <row r="6" spans="1:6" ht="24" customHeight="1">
      <c r="A6" s="190" t="s">
        <v>696</v>
      </c>
      <c r="B6" s="66">
        <f>DERS_PLANI!U164</f>
        <v>0</v>
      </c>
      <c r="C6" s="66">
        <f>DERS_PLANI!U176</f>
        <v>0</v>
      </c>
      <c r="D6" s="66">
        <f>DERS_PLANI!U188</f>
        <v>0</v>
      </c>
      <c r="E6" s="66">
        <f>DERS_PLANI!U200</f>
        <v>0</v>
      </c>
      <c r="F6" s="66">
        <f>DERS_PLANI!U212</f>
        <v>0</v>
      </c>
    </row>
    <row r="7" spans="1:6" ht="24" customHeight="1">
      <c r="A7" s="190" t="s">
        <v>697</v>
      </c>
      <c r="B7" s="66">
        <f>DERS_PLANI!U165</f>
        <v>0</v>
      </c>
      <c r="C7" s="66">
        <f>DERS_PLANI!U177</f>
        <v>0</v>
      </c>
      <c r="D7" s="66">
        <f>DERS_PLANI!U189</f>
        <v>0</v>
      </c>
      <c r="E7" s="66">
        <f>DERS_PLANI!U201</f>
        <v>0</v>
      </c>
      <c r="F7" s="66">
        <f>DERS_PLANI!U213</f>
        <v>0</v>
      </c>
    </row>
    <row r="8" spans="1:6" ht="24" customHeight="1">
      <c r="A8" s="190" t="s">
        <v>698</v>
      </c>
      <c r="B8" s="66">
        <f>DERS_PLANI!U166</f>
        <v>0</v>
      </c>
      <c r="C8" s="66">
        <f>DERS_PLANI!U178</f>
        <v>0</v>
      </c>
      <c r="D8" s="66">
        <f>DERS_PLANI!U190</f>
        <v>0</v>
      </c>
      <c r="E8" s="66">
        <f>DERS_PLANI!U202</f>
        <v>0</v>
      </c>
      <c r="F8" s="66">
        <f>DERS_PLANI!U214</f>
        <v>0</v>
      </c>
    </row>
    <row r="9" spans="1:6" ht="24" customHeight="1">
      <c r="A9" s="190" t="s">
        <v>699</v>
      </c>
      <c r="B9" s="66">
        <f>DERS_PLANI!U167</f>
        <v>0</v>
      </c>
      <c r="C9" s="66">
        <f>DERS_PLANI!U179</f>
        <v>0</v>
      </c>
      <c r="D9" s="66">
        <f>DERS_PLANI!U191</f>
        <v>0</v>
      </c>
      <c r="E9" s="66">
        <f>DERS_PLANI!U203</f>
        <v>0</v>
      </c>
      <c r="F9" s="66">
        <f>DERS_PLANI!U215</f>
        <v>0</v>
      </c>
    </row>
    <row r="10" spans="1:6" ht="24" customHeight="1">
      <c r="A10" s="190" t="s">
        <v>700</v>
      </c>
      <c r="B10" s="66">
        <f>DERS_PLANI!U168</f>
        <v>0</v>
      </c>
      <c r="C10" s="66">
        <f>DERS_PLANI!U180</f>
        <v>0</v>
      </c>
      <c r="D10" s="66">
        <f>DERS_PLANI!U192</f>
        <v>0</v>
      </c>
      <c r="E10" s="66">
        <f>DERS_PLANI!U204</f>
        <v>0</v>
      </c>
      <c r="F10" s="66">
        <f>DERS_PLANI!U216</f>
        <v>0</v>
      </c>
    </row>
    <row r="11" spans="1:6" ht="24" customHeight="1">
      <c r="A11" s="190" t="s">
        <v>701</v>
      </c>
      <c r="B11" s="66">
        <f>DERS_PLANI!U169</f>
        <v>0</v>
      </c>
      <c r="C11" s="66">
        <f>DERS_PLANI!U181</f>
        <v>0</v>
      </c>
      <c r="D11" s="66">
        <f>DERS_PLANI!U193</f>
        <v>0</v>
      </c>
      <c r="E11" s="66">
        <f>DERS_PLANI!U205</f>
        <v>0</v>
      </c>
      <c r="F11" s="66">
        <f>DERS_PLANI!U217</f>
        <v>0</v>
      </c>
    </row>
    <row r="12" spans="1:6" ht="24" customHeight="1">
      <c r="A12" s="190" t="s">
        <v>705</v>
      </c>
      <c r="B12" s="66"/>
      <c r="C12" s="66"/>
      <c r="D12" s="66"/>
      <c r="E12" s="66"/>
      <c r="F12" s="66"/>
    </row>
    <row r="13" spans="1:6" ht="24" customHeight="1">
      <c r="A13" s="190" t="s">
        <v>703</v>
      </c>
      <c r="B13" s="66"/>
      <c r="C13" s="66"/>
      <c r="D13" s="66"/>
      <c r="E13" s="66"/>
      <c r="F13" s="66"/>
    </row>
    <row r="14" spans="1:6" ht="24" customHeight="1">
      <c r="A14" s="190" t="s">
        <v>704</v>
      </c>
      <c r="B14" s="66"/>
      <c r="C14" s="66"/>
      <c r="D14" s="66"/>
      <c r="E14" s="66"/>
      <c r="F14" s="66"/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CFDE-34F4-415D-B4D3-BEB627005B26}">
  <sheetPr>
    <pageSetUpPr fitToPage="1"/>
  </sheetPr>
  <dimension ref="A1:F14"/>
  <sheetViews>
    <sheetView workbookViewId="0">
      <selection activeCell="D9" sqref="D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83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164">
        <f>DERS_PLANI!V161</f>
        <v>0</v>
      </c>
      <c r="C3" s="164">
        <f>DERS_PLANI!V173</f>
        <v>0</v>
      </c>
      <c r="D3" s="164">
        <f>DERS_PLANI!V185</f>
        <v>0</v>
      </c>
      <c r="E3" s="164" t="str">
        <f>DERS_PLANI!W197</f>
        <v>ISE 332 (Teorik) - Sec 1 (Didem Tufan)</v>
      </c>
      <c r="F3" s="164">
        <f>DERS_PLANI!V209</f>
        <v>0</v>
      </c>
    </row>
    <row r="4" spans="1:6" ht="24" customHeight="1">
      <c r="A4" s="190" t="s">
        <v>694</v>
      </c>
      <c r="B4" s="164" t="str">
        <f>DERS_PLANI!V162</f>
        <v>MYO - TAP 106 BASKI TEKNİKLERİ</v>
      </c>
      <c r="C4" s="164" t="str">
        <f>DERS_PLANI!V174</f>
        <v>ING 102 - 03 (MYO)</v>
      </c>
      <c r="D4" s="164" t="str">
        <f>DERS_PLANI!V186</f>
        <v>MYO - TAP 106 BASKI TEKNİKLERİ</v>
      </c>
      <c r="E4" s="164" t="str">
        <f>DERS_PLANI!W198</f>
        <v>ISE 332 (Teorik) - Sec 1 (Didem Tufan)</v>
      </c>
      <c r="F4" s="164">
        <f>DERS_PLANI!V210</f>
        <v>0</v>
      </c>
    </row>
    <row r="5" spans="1:6" ht="24" customHeight="1">
      <c r="A5" s="190" t="s">
        <v>695</v>
      </c>
      <c r="B5" s="164" t="str">
        <f>DERS_PLANI!V163</f>
        <v>MYO - TAP 106 BASKI TEKNİKLERİ</v>
      </c>
      <c r="C5" s="164" t="str">
        <f>DERS_PLANI!V175</f>
        <v>ING 102 - 03 (MYO)</v>
      </c>
      <c r="D5" s="164" t="str">
        <f>DERS_PLANI!V187</f>
        <v>MYO - TAP 106 BASKI TEKNİKLERİ</v>
      </c>
      <c r="E5" s="164" t="str">
        <f>DERS_PLANI!W199</f>
        <v>ISE 332 (Teorik) - Sec 1 (Didem Tufan)</v>
      </c>
      <c r="F5" s="164">
        <f>DERS_PLANI!V211</f>
        <v>0</v>
      </c>
    </row>
    <row r="6" spans="1:6" ht="24" customHeight="1">
      <c r="A6" s="190" t="s">
        <v>696</v>
      </c>
      <c r="B6" s="164" t="str">
        <f>DERS_PLANI!V164</f>
        <v>ING 102 - 02 (MYO)</v>
      </c>
      <c r="C6" s="164" t="str">
        <f>DERS_PLANI!V176</f>
        <v>ING 102 - 04 (MYO)</v>
      </c>
      <c r="D6" s="164" t="str">
        <f>DERS_PLANI!V188</f>
        <v>ING 102 - 07 (MYO)</v>
      </c>
      <c r="E6" s="164" t="str">
        <f>DERS_PLANI!W200</f>
        <v>BM 424 (Teorik) - Sec 1 (Halil Özmen)</v>
      </c>
      <c r="F6" s="164">
        <f>DERS_PLANI!V212</f>
        <v>0</v>
      </c>
    </row>
    <row r="7" spans="1:6" ht="24" customHeight="1">
      <c r="A7" s="190" t="s">
        <v>697</v>
      </c>
      <c r="B7" s="164" t="str">
        <f>DERS_PLANI!V165</f>
        <v>ING 102 - 02 (MYO)</v>
      </c>
      <c r="C7" s="164" t="str">
        <f>DERS_PLANI!V177</f>
        <v>ING 102 - 04 (MYO)</v>
      </c>
      <c r="D7" s="164" t="str">
        <f>DERS_PLANI!V189</f>
        <v>ING 102 - 07 (MYO)</v>
      </c>
      <c r="E7" s="164" t="str">
        <f>DERS_PLANI!W201</f>
        <v>BM 424 (Teorik) - Sec 1 (Halil Özmen)</v>
      </c>
      <c r="F7" s="164">
        <f>DERS_PLANI!V213</f>
        <v>0</v>
      </c>
    </row>
    <row r="8" spans="1:6" ht="24" customHeight="1">
      <c r="A8" s="190" t="s">
        <v>698</v>
      </c>
      <c r="B8" s="164">
        <f>DERS_PLANI!V166</f>
        <v>0</v>
      </c>
      <c r="C8" s="164">
        <f>DERS_PLANI!V178</f>
        <v>0</v>
      </c>
      <c r="D8" s="164">
        <f>DERS_PLANI!V190</f>
        <v>0</v>
      </c>
      <c r="E8" s="164" t="str">
        <f>DERS_PLANI!W202</f>
        <v>BM 424 (Teorik) - Sec 1 (Halil Özmen)</v>
      </c>
      <c r="F8" s="164">
        <f>DERS_PLANI!V214</f>
        <v>0</v>
      </c>
    </row>
    <row r="9" spans="1:6" ht="24" customHeight="1">
      <c r="A9" s="190" t="s">
        <v>699</v>
      </c>
      <c r="B9" s="164" t="str">
        <f>DERS_PLANI!V167</f>
        <v>ING 102 - 03 (MYO)</v>
      </c>
      <c r="C9" s="164">
        <f>DERS_PLANI!V179</f>
        <v>0</v>
      </c>
      <c r="D9" s="164" t="str">
        <f>DERS_PLANI!V191</f>
        <v>MYO -IHA206 ARIZA ANALİZİ</v>
      </c>
      <c r="E9" s="164">
        <f>DERS_PLANI!W203</f>
        <v>0</v>
      </c>
      <c r="F9" s="164">
        <f>DERS_PLANI!V215</f>
        <v>0</v>
      </c>
    </row>
    <row r="10" spans="1:6" ht="24" customHeight="1">
      <c r="A10" s="190" t="s">
        <v>700</v>
      </c>
      <c r="B10" s="164" t="str">
        <f>DERS_PLANI!V168</f>
        <v>ING 102 - 03 (MYO)</v>
      </c>
      <c r="C10" s="164">
        <f>DERS_PLANI!V180</f>
        <v>0</v>
      </c>
      <c r="D10" s="164" t="str">
        <f>DERS_PLANI!V192</f>
        <v>MYO -IHA206 ARIZA ANALİZİ</v>
      </c>
      <c r="E10" s="164">
        <f>DERS_PLANI!W204</f>
        <v>0</v>
      </c>
      <c r="F10" s="164">
        <f>DERS_PLANI!V216</f>
        <v>0</v>
      </c>
    </row>
    <row r="11" spans="1:6" ht="24" customHeight="1">
      <c r="A11" s="190" t="s">
        <v>701</v>
      </c>
      <c r="B11" s="164">
        <f>DERS_PLANI!V169</f>
        <v>0</v>
      </c>
      <c r="C11" s="164">
        <f>DERS_PLANI!V181</f>
        <v>0</v>
      </c>
      <c r="D11" s="164" t="str">
        <f>DERS_PLANI!V193</f>
        <v>MYO -IHA206 ARIZA ANALİZİ</v>
      </c>
      <c r="E11" s="164">
        <f>DERS_PLANI!W205</f>
        <v>0</v>
      </c>
      <c r="F11" s="164">
        <f>DERS_PLANI!V217</f>
        <v>0</v>
      </c>
    </row>
    <row r="12" spans="1:6" ht="24" customHeight="1">
      <c r="A12" s="190" t="s">
        <v>705</v>
      </c>
      <c r="B12" s="164">
        <f>DERS_PLANI!V170</f>
        <v>0</v>
      </c>
      <c r="C12" s="164">
        <f>DERS_PLANI!V182</f>
        <v>0</v>
      </c>
      <c r="D12" s="164">
        <f>DERS_PLANI!V194</f>
        <v>0</v>
      </c>
      <c r="E12" s="164">
        <f>DERS_PLANI!W206</f>
        <v>0</v>
      </c>
      <c r="F12" s="164">
        <f>DERS_PLANI!V218</f>
        <v>0</v>
      </c>
    </row>
    <row r="13" spans="1:6" ht="24" customHeight="1">
      <c r="A13" s="190" t="s">
        <v>703</v>
      </c>
      <c r="B13" s="164">
        <f>DERS_PLANI!V171</f>
        <v>0</v>
      </c>
      <c r="C13" s="164">
        <f>DERS_PLANI!V183</f>
        <v>0</v>
      </c>
      <c r="D13" s="164">
        <f>DERS_PLANI!V195</f>
        <v>0</v>
      </c>
      <c r="E13" s="164">
        <f>DERS_PLANI!W207</f>
        <v>0</v>
      </c>
      <c r="F13" s="164">
        <f>DERS_PLANI!V219</f>
        <v>0</v>
      </c>
    </row>
    <row r="14" spans="1:6" ht="24" customHeight="1">
      <c r="A14" s="190" t="s">
        <v>704</v>
      </c>
      <c r="B14" s="164">
        <f>DERS_PLANI!V172</f>
        <v>0</v>
      </c>
      <c r="C14" s="164">
        <f>DERS_PLANI!V184</f>
        <v>0</v>
      </c>
      <c r="D14" s="164">
        <f>DERS_PLANI!V196</f>
        <v>0</v>
      </c>
      <c r="E14" s="164">
        <f>DERS_PLANI!W208</f>
        <v>0</v>
      </c>
      <c r="F14" s="164">
        <f>DERS_PLANI!V220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00D0-195B-439C-BE3D-123E27BF4A7E}">
  <sheetPr>
    <pageSetUpPr fitToPage="1"/>
  </sheetPr>
  <dimension ref="A1:F14"/>
  <sheetViews>
    <sheetView workbookViewId="0">
      <selection activeCell="D7" sqref="D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72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0" t="s">
        <v>693</v>
      </c>
      <c r="B3" s="164" t="str">
        <f>DERS_PLANI!T161</f>
        <v>SENG 264 (Teorik) - Sec 1 (Sarper Alkan)</v>
      </c>
      <c r="C3" s="164" t="str">
        <f>DERS_PLANI!T173</f>
        <v>CENG 102 (Teorik) - Sec 2 (Hasan Karaaslan)</v>
      </c>
      <c r="D3" s="164" t="str">
        <f>DERS_PLANI!T185</f>
        <v>MATH 224 (Teorik) - Sec 1(Mustafa Akkaya)</v>
      </c>
      <c r="E3" s="164" t="str">
        <f>DERS_PLANI!T197</f>
        <v>EEE 302 (Teorik) - Sec 1 (Yusuf Uzun)</v>
      </c>
      <c r="F3" s="164" t="str">
        <f>DERS_PLANI!T209</f>
        <v>MATH 206 (Teorik) - Sec 2 (Benhür Satır)</v>
      </c>
    </row>
    <row r="4" spans="1:6" ht="24" customHeight="1">
      <c r="A4" s="190" t="s">
        <v>694</v>
      </c>
      <c r="B4" s="164" t="str">
        <f>DERS_PLANI!T162</f>
        <v>SENG 264 (Teorik) - Sec 1 (Sarper Alkan)</v>
      </c>
      <c r="C4" s="164" t="str">
        <f>DERS_PLANI!T174</f>
        <v>CENG 102 (Teorik) - Sec 2 (Hasan Karaaslan)</v>
      </c>
      <c r="D4" s="164" t="str">
        <f>DERS_PLANI!T186</f>
        <v>MATH 224 (Teorik) - Sec 1(Mustafa Akkaya)</v>
      </c>
      <c r="E4" s="164" t="str">
        <f>DERS_PLANI!T198</f>
        <v>EEE 302 (Teorik) - Sec 1 (Yusuf Uzun)</v>
      </c>
      <c r="F4" s="164" t="str">
        <f>DERS_PLANI!T210</f>
        <v>MATH 206 (Teorik) - Sec 2 (Benhür Satır)</v>
      </c>
    </row>
    <row r="5" spans="1:6" ht="24" customHeight="1">
      <c r="A5" s="190" t="s">
        <v>695</v>
      </c>
      <c r="B5" s="164" t="str">
        <f>DERS_PLANI!T163</f>
        <v>SENG 264 (Teorik) - Sec 1 (Sarper Alkan)</v>
      </c>
      <c r="C5" s="164" t="str">
        <f>DERS_PLANI!T175</f>
        <v>CENG 102 (Teorik) - Sec 2 (Hasan Karaaslan)</v>
      </c>
      <c r="D5" s="164" t="str">
        <f>DERS_PLANI!T187</f>
        <v>MATH 224 (Teorik) - Sec 1(Mustafa Akkaya)</v>
      </c>
      <c r="E5" s="164" t="str">
        <f>DERS_PLANI!T199</f>
        <v>EEE 302 (Teorik) - Sec 1 (Yusuf Uzun)</v>
      </c>
      <c r="F5" s="164" t="str">
        <f>DERS_PLANI!T211</f>
        <v>MATH 206 (Teorik) - Sec 2 (Benhür Satır)</v>
      </c>
    </row>
    <row r="6" spans="1:6" ht="24" customHeight="1">
      <c r="A6" s="190" t="s">
        <v>696</v>
      </c>
      <c r="B6" s="164" t="str">
        <f>DERS_PLANI!T164</f>
        <v>CENG 214 (Teorik) - Sec 1 (Mesut Ünlü)</v>
      </c>
      <c r="C6" s="164" t="str">
        <f>DERS_PLANI!T176</f>
        <v>CENG 384 (Teorik) - Sec 2 (Hakan Çağlar)</v>
      </c>
      <c r="D6" s="164" t="str">
        <f>DERS_PLANI!T188</f>
        <v>BM 256 (Teorik) - Sec 1 (Ekrem Çağlar)</v>
      </c>
      <c r="E6" s="164" t="str">
        <f>DERS_PLANI!T200</f>
        <v>SENG 448 (Teorik) - Sec 1 (Hakan Çağlar)</v>
      </c>
      <c r="F6" s="164">
        <f>DERS_PLANI!T212</f>
        <v>0</v>
      </c>
    </row>
    <row r="7" spans="1:6" ht="24" customHeight="1">
      <c r="A7" s="190" t="s">
        <v>697</v>
      </c>
      <c r="B7" s="164" t="str">
        <f>DERS_PLANI!T165</f>
        <v>CENG 214 (Teorik) - Sec 1 (Mesut Ünlü)</v>
      </c>
      <c r="C7" s="164" t="str">
        <f>DERS_PLANI!T177</f>
        <v>CENG 384 (Teorik) - Sec 2 (Hakan Çağlar)</v>
      </c>
      <c r="D7" s="164" t="str">
        <f>DERS_PLANI!T189</f>
        <v>BM 256 (Teorik) - Sec 1 (Ekrem Çağlar)</v>
      </c>
      <c r="E7" s="164" t="str">
        <f>DERS_PLANI!T201</f>
        <v>SENG 448 (Teorik) - Sec 1 (Hakan Çağlar)</v>
      </c>
      <c r="F7" s="164">
        <f>DERS_PLANI!T213</f>
        <v>0</v>
      </c>
    </row>
    <row r="8" spans="1:6" ht="24" customHeight="1">
      <c r="A8" s="190" t="s">
        <v>698</v>
      </c>
      <c r="B8" s="164" t="str">
        <f>DERS_PLANI!T166</f>
        <v>CENG 214 (Teorik) - Sec 1 (Mesut Ünlü)</v>
      </c>
      <c r="C8" s="164" t="str">
        <f>DERS_PLANI!T178</f>
        <v>CENG 384 (Teorik) - Sec 2 (Hakan Çağlar)</v>
      </c>
      <c r="D8" s="164" t="str">
        <f>DERS_PLANI!T190</f>
        <v>BM 256 (Teorik) - Sec 1 (Ekrem Çağlar)</v>
      </c>
      <c r="E8" s="164" t="str">
        <f>DERS_PLANI!T202</f>
        <v>SENG 448 (Teorik) - Sec 1 (Hakan Çağlar)</v>
      </c>
      <c r="F8" s="164">
        <f>DERS_PLANI!T214</f>
        <v>0</v>
      </c>
    </row>
    <row r="9" spans="1:6" ht="24" customHeight="1">
      <c r="A9" s="190" t="s">
        <v>699</v>
      </c>
      <c r="B9" s="164" t="str">
        <f>DERS_PLANI!T167</f>
        <v>MYO - MAT121 Matematik I</v>
      </c>
      <c r="C9" s="164" t="str">
        <f>DERS_PLANI!T179</f>
        <v>ENG 302 - 8</v>
      </c>
      <c r="D9" s="164" t="str">
        <f>DERS_PLANI!T191</f>
        <v>MYO - MAT122 Matematik II</v>
      </c>
      <c r="E9" s="164" t="str">
        <f>DERS_PLANI!T203</f>
        <v xml:space="preserve">MYO  -BIL 114 SİSTEM ANALİZİ VE TASARIMI </v>
      </c>
      <c r="F9" s="164" t="str">
        <f>DERS_PLANI!T215</f>
        <v>MATH 206 (Teorik) - Sec 3 (Benhür Satır)</v>
      </c>
    </row>
    <row r="10" spans="1:6" ht="24" customHeight="1">
      <c r="A10" s="190" t="s">
        <v>700</v>
      </c>
      <c r="B10" s="164" t="str">
        <f>DERS_PLANI!T168</f>
        <v>MYO - MAT121 Matematik I</v>
      </c>
      <c r="C10" s="164" t="str">
        <f>DERS_PLANI!T180</f>
        <v>ENG 302 - 8</v>
      </c>
      <c r="D10" s="164" t="str">
        <f>DERS_PLANI!T192</f>
        <v>MYO - MAT122 Matematik II</v>
      </c>
      <c r="E10" s="164" t="str">
        <f>DERS_PLANI!T204</f>
        <v xml:space="preserve">MYO  -BIL 114 SİSTEM ANALİZİ VE TASARIMI </v>
      </c>
      <c r="F10" s="164" t="str">
        <f>DERS_PLANI!T216</f>
        <v>MATH 206 (Teorik) - Sec 3 (Benhür Satır)</v>
      </c>
    </row>
    <row r="11" spans="1:6" ht="24" customHeight="1">
      <c r="A11" s="190" t="s">
        <v>701</v>
      </c>
      <c r="B11" s="164" t="str">
        <f>DERS_PLANI!T169</f>
        <v>MYO - MAT121 Matematik I</v>
      </c>
      <c r="C11" s="164">
        <f>DERS_PLANI!T181</f>
        <v>0</v>
      </c>
      <c r="D11" s="164" t="str">
        <f>DERS_PLANI!T193</f>
        <v>MYO - MAT122 Matematik II</v>
      </c>
      <c r="E11" s="164">
        <f>DERS_PLANI!T205</f>
        <v>0</v>
      </c>
      <c r="F11" s="164" t="str">
        <f>DERS_PLANI!T217</f>
        <v>MATH 206 (Teorik) - Sec 3 (Benhür Satır)</v>
      </c>
    </row>
    <row r="12" spans="1:6" ht="24" customHeight="1">
      <c r="A12" s="190" t="s">
        <v>705</v>
      </c>
      <c r="B12" s="164">
        <f>DERS_PLANI!T170</f>
        <v>0</v>
      </c>
      <c r="C12" s="164">
        <f>DERS_PLANI!T182</f>
        <v>0</v>
      </c>
      <c r="D12" s="164">
        <f>DERS_PLANI!T194</f>
        <v>0</v>
      </c>
      <c r="E12" s="164">
        <f>DERS_PLANI!T206</f>
        <v>0</v>
      </c>
      <c r="F12" s="164">
        <f>DERS_PLANI!T218</f>
        <v>0</v>
      </c>
    </row>
    <row r="13" spans="1:6" ht="24" customHeight="1">
      <c r="A13" s="190" t="s">
        <v>703</v>
      </c>
      <c r="B13" s="164">
        <f>DERS_PLANI!T171</f>
        <v>0</v>
      </c>
      <c r="C13" s="164">
        <f>DERS_PLANI!T183</f>
        <v>0</v>
      </c>
      <c r="D13" s="164">
        <f>DERS_PLANI!T195</f>
        <v>0</v>
      </c>
      <c r="E13" s="164">
        <f>DERS_PLANI!T207</f>
        <v>0</v>
      </c>
      <c r="F13" s="164">
        <f>DERS_PLANI!T219</f>
        <v>0</v>
      </c>
    </row>
    <row r="14" spans="1:6" ht="24" customHeight="1">
      <c r="A14" s="190" t="s">
        <v>704</v>
      </c>
      <c r="B14" s="164">
        <f>DERS_PLANI!T172</f>
        <v>0</v>
      </c>
      <c r="C14" s="164">
        <f>DERS_PLANI!T184</f>
        <v>0</v>
      </c>
      <c r="D14" s="164">
        <f>DERS_PLANI!T196</f>
        <v>0</v>
      </c>
      <c r="E14" s="164">
        <f>DERS_PLANI!T208</f>
        <v>0</v>
      </c>
      <c r="F14" s="164">
        <f>DERS_PLANI!T220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AC84-CC1B-4884-8048-3EB356873238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68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 t="str">
        <f>DERS_PLANI!S161</f>
        <v>HUK114</v>
      </c>
      <c r="C3" s="66">
        <f>DERS_PLANI!S173</f>
        <v>0</v>
      </c>
      <c r="D3" s="66" t="str">
        <f>DERS_PLANI!S185</f>
        <v>HUk212</v>
      </c>
      <c r="E3" s="66">
        <f>DERS_PLANI!S197</f>
        <v>0</v>
      </c>
      <c r="F3" s="66" t="str">
        <f>DERS_PLANI!S209</f>
        <v>HUK210</v>
      </c>
    </row>
    <row r="4" spans="1:6" ht="24" customHeight="1">
      <c r="A4" s="196" t="s">
        <v>723</v>
      </c>
      <c r="B4" s="66" t="str">
        <f>DERS_PLANI!S162</f>
        <v>HUK114</v>
      </c>
      <c r="C4" s="66" t="str">
        <f>DERS_PLANI!S174</f>
        <v>HUK202</v>
      </c>
      <c r="D4" s="66" t="str">
        <f>DERS_PLANI!S186</f>
        <v>HUk212</v>
      </c>
      <c r="E4" s="66" t="str">
        <f>DERS_PLANI!S198</f>
        <v>HUK206</v>
      </c>
      <c r="F4" s="66" t="str">
        <f>DERS_PLANI!S210</f>
        <v>HUK210</v>
      </c>
    </row>
    <row r="5" spans="1:6" ht="24" customHeight="1">
      <c r="A5" s="196" t="s">
        <v>724</v>
      </c>
      <c r="B5" s="66" t="str">
        <f>DERS_PLANI!S163</f>
        <v>HUK114</v>
      </c>
      <c r="C5" s="66" t="str">
        <f>DERS_PLANI!S175</f>
        <v>HUK202</v>
      </c>
      <c r="D5" s="66" t="str">
        <f>DERS_PLANI!S187</f>
        <v>HUk212</v>
      </c>
      <c r="E5" s="66" t="str">
        <f>DERS_PLANI!S199</f>
        <v>HUK206</v>
      </c>
      <c r="F5" s="66" t="str">
        <f>DERS_PLANI!S211</f>
        <v>HUK210</v>
      </c>
    </row>
    <row r="6" spans="1:6" ht="24" customHeight="1">
      <c r="A6" s="196" t="s">
        <v>725</v>
      </c>
      <c r="B6" s="66" t="str">
        <f>DERS_PLANI!S164</f>
        <v>HUK208</v>
      </c>
      <c r="C6" s="66" t="str">
        <f>DERS_PLANI!S176</f>
        <v>HUK206</v>
      </c>
      <c r="D6" s="66" t="str">
        <f>DERS_PLANI!S188</f>
        <v>HUK202</v>
      </c>
      <c r="E6" s="66" t="str">
        <f>DERS_PLANI!S200</f>
        <v>HUK206</v>
      </c>
      <c r="F6" s="66">
        <f>DERS_PLANI!S212</f>
        <v>0</v>
      </c>
    </row>
    <row r="7" spans="1:6" ht="24" customHeight="1">
      <c r="A7" s="196" t="s">
        <v>726</v>
      </c>
      <c r="B7" s="66" t="str">
        <f>DERS_PLANI!S165</f>
        <v>HUK208</v>
      </c>
      <c r="C7" s="66" t="str">
        <f>DERS_PLANI!S177</f>
        <v>HUK206</v>
      </c>
      <c r="D7" s="66" t="str">
        <f>DERS_PLANI!S189</f>
        <v>HUK202</v>
      </c>
      <c r="E7" s="66" t="str">
        <f>DERS_PLANI!S201</f>
        <v>HUK204</v>
      </c>
      <c r="F7" s="66">
        <f>DERS_PLANI!S213</f>
        <v>0</v>
      </c>
    </row>
    <row r="8" spans="1:6" ht="24" customHeight="1">
      <c r="A8" s="196" t="s">
        <v>530</v>
      </c>
      <c r="B8" s="66" t="str">
        <f>DERS_PLANI!S166</f>
        <v>HUK208</v>
      </c>
      <c r="C8" s="66" t="str">
        <f>DERS_PLANI!S178</f>
        <v>HUK206</v>
      </c>
      <c r="D8" s="66" t="str">
        <f>DERS_PLANI!S190</f>
        <v>HUK202</v>
      </c>
      <c r="E8" s="66" t="str">
        <f>DERS_PLANI!S202</f>
        <v>HUK204</v>
      </c>
      <c r="F8" s="66" t="str">
        <f>DERS_PLANI!S214</f>
        <v>HUK204</v>
      </c>
    </row>
    <row r="9" spans="1:6" ht="24" customHeight="1">
      <c r="A9" s="196" t="s">
        <v>727</v>
      </c>
      <c r="B9" s="66" t="str">
        <f>DERS_PLANI!S167</f>
        <v>HUK208</v>
      </c>
      <c r="C9" s="66" t="str">
        <f>DERS_PLANI!S179</f>
        <v>SEC258</v>
      </c>
      <c r="D9" s="66" t="str">
        <f>DERS_PLANI!S191</f>
        <v>SEC260</v>
      </c>
      <c r="E9" s="66" t="str">
        <f>DERS_PLANI!S203</f>
        <v>SEC256/CMM 228</v>
      </c>
      <c r="F9" s="66" t="str">
        <f>DERS_PLANI!S215</f>
        <v>HUK204</v>
      </c>
    </row>
    <row r="10" spans="1:6" ht="24" customHeight="1">
      <c r="A10" s="196" t="s">
        <v>728</v>
      </c>
      <c r="B10" s="66">
        <f>DERS_PLANI!S168</f>
        <v>0</v>
      </c>
      <c r="C10" s="66" t="str">
        <f>DERS_PLANI!S180</f>
        <v>SEC258</v>
      </c>
      <c r="D10" s="66" t="str">
        <f>DERS_PLANI!S192</f>
        <v>SEC260</v>
      </c>
      <c r="E10" s="66" t="str">
        <f>DERS_PLANI!S204</f>
        <v>SEC256/CMM 228</v>
      </c>
      <c r="F10" s="66">
        <f>DERS_PLANI!S216</f>
        <v>0</v>
      </c>
    </row>
    <row r="11" spans="1:6" ht="24" customHeight="1">
      <c r="A11" s="196" t="s">
        <v>544</v>
      </c>
      <c r="B11" s="66">
        <f>DERS_PLANI!S169</f>
        <v>0</v>
      </c>
      <c r="C11" s="66">
        <f>DERS_PLANI!S181</f>
        <v>0</v>
      </c>
      <c r="D11" s="66">
        <f>DERS_PLANI!S193</f>
        <v>0</v>
      </c>
      <c r="E11" s="66" t="str">
        <f>DERS_PLANI!S205</f>
        <v>SEC256/CMM 228</v>
      </c>
      <c r="F11" s="66">
        <f>DERS_PLANI!S217</f>
        <v>0</v>
      </c>
    </row>
    <row r="12" spans="1:6" ht="24" customHeight="1">
      <c r="A12" s="196" t="s">
        <v>705</v>
      </c>
      <c r="B12" s="66">
        <f>DERS_PLANI!S170</f>
        <v>0</v>
      </c>
      <c r="C12" s="66">
        <f>DERS_PLANI!S182</f>
        <v>0</v>
      </c>
      <c r="D12" s="66">
        <f>DERS_PLANI!S194</f>
        <v>0</v>
      </c>
      <c r="E12" s="66">
        <f>DERS_PLANI!S206</f>
        <v>0</v>
      </c>
      <c r="F12" s="66">
        <f>DERS_PLANI!S218</f>
        <v>0</v>
      </c>
    </row>
    <row r="13" spans="1:6" ht="24" customHeight="1">
      <c r="A13" s="196" t="s">
        <v>703</v>
      </c>
      <c r="B13" s="66">
        <f>DERS_PLANI!S171</f>
        <v>0</v>
      </c>
      <c r="C13" s="66">
        <f>DERS_PLANI!S183</f>
        <v>0</v>
      </c>
      <c r="D13" s="66">
        <f>DERS_PLANI!S195</f>
        <v>0</v>
      </c>
      <c r="E13" s="66">
        <f>DERS_PLANI!S207</f>
        <v>0</v>
      </c>
      <c r="F13" s="66">
        <f>DERS_PLANI!S219</f>
        <v>0</v>
      </c>
    </row>
    <row r="14" spans="1:6" ht="24" customHeight="1">
      <c r="A14" s="196" t="s">
        <v>704</v>
      </c>
      <c r="B14" s="66">
        <f>DERS_PLANI!S172</f>
        <v>0</v>
      </c>
      <c r="C14" s="66">
        <f>DERS_PLANI!S184</f>
        <v>0</v>
      </c>
      <c r="D14" s="66">
        <f>DERS_PLANI!S196</f>
        <v>0</v>
      </c>
      <c r="E14" s="66">
        <f>DERS_PLANI!S208</f>
        <v>0</v>
      </c>
      <c r="F14" s="66">
        <f>DERS_PLANI!S220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72C3-35EF-4BFC-9B1A-0B5863CF47DE}">
  <sheetPr>
    <pageSetUpPr fitToPage="1"/>
  </sheetPr>
  <dimension ref="A1:F14"/>
  <sheetViews>
    <sheetView workbookViewId="0">
      <selection activeCell="D9" sqref="D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64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 t="str">
        <f>DERS_PLANI!R161</f>
        <v>HUK416</v>
      </c>
      <c r="C3" s="66" t="str">
        <f>DERS_PLANI!R173</f>
        <v>HUK106/126</v>
      </c>
      <c r="D3" s="66" t="str">
        <f>DERS_PLANI!R185</f>
        <v>HUK114</v>
      </c>
      <c r="E3" s="66">
        <f>DERS_PLANI!R197</f>
        <v>0</v>
      </c>
      <c r="F3" s="66" t="str">
        <f>DERS_PLANI!R209</f>
        <v>HUK112/122</v>
      </c>
    </row>
    <row r="4" spans="1:6" ht="24" customHeight="1">
      <c r="A4" s="196" t="s">
        <v>723</v>
      </c>
      <c r="B4" s="66" t="str">
        <f>DERS_PLANI!R162</f>
        <v>HUK416</v>
      </c>
      <c r="C4" s="66" t="str">
        <f>DERS_PLANI!R174</f>
        <v>HUK106/126</v>
      </c>
      <c r="D4" s="66" t="str">
        <f>DERS_PLANI!R186</f>
        <v>HUK114</v>
      </c>
      <c r="E4" s="66" t="str">
        <f>DERS_PLANI!R198</f>
        <v>HUK104/124</v>
      </c>
      <c r="F4" s="66" t="str">
        <f>DERS_PLANI!R210</f>
        <v>HUK112/122</v>
      </c>
    </row>
    <row r="5" spans="1:6" ht="24" customHeight="1">
      <c r="A5" s="196" t="s">
        <v>724</v>
      </c>
      <c r="B5" s="66" t="str">
        <f>DERS_PLANI!R163</f>
        <v>HUK416</v>
      </c>
      <c r="C5" s="66" t="str">
        <f>DERS_PLANI!R175</f>
        <v>HUK106/126</v>
      </c>
      <c r="D5" s="66" t="str">
        <f>DERS_PLANI!R187</f>
        <v>HUK114</v>
      </c>
      <c r="E5" s="66" t="str">
        <f>DERS_PLANI!R199</f>
        <v>HUK104/124</v>
      </c>
      <c r="F5" s="66" t="str">
        <f>DERS_PLANI!R211</f>
        <v>HUK112/122</v>
      </c>
    </row>
    <row r="6" spans="1:6" ht="24" customHeight="1">
      <c r="A6" s="196" t="s">
        <v>725</v>
      </c>
      <c r="B6" s="66" t="str">
        <f>DERS_PLANI!R164</f>
        <v>HUK402</v>
      </c>
      <c r="C6" s="66" t="str">
        <f>DERS_PLANI!R176</f>
        <v>HUK106/126</v>
      </c>
      <c r="D6" s="66" t="str">
        <f>DERS_PLANI!R188</f>
        <v>HUK106/126</v>
      </c>
      <c r="E6" s="66" t="str">
        <f>DERS_PLANI!R200</f>
        <v>HUK104/124</v>
      </c>
      <c r="F6" s="66">
        <f>DERS_PLANI!R212</f>
        <v>0</v>
      </c>
    </row>
    <row r="7" spans="1:6" ht="24" customHeight="1">
      <c r="A7" s="196" t="s">
        <v>726</v>
      </c>
      <c r="B7" s="66" t="str">
        <f>DERS_PLANI!R165</f>
        <v>HUK402</v>
      </c>
      <c r="C7" s="66" t="str">
        <f>DERS_PLANI!R177</f>
        <v>ECON102</v>
      </c>
      <c r="D7" s="66" t="str">
        <f>DERS_PLANI!R189</f>
        <v>HUK106/126</v>
      </c>
      <c r="E7" s="66" t="str">
        <f>DERS_PLANI!R201</f>
        <v>HUK104/124</v>
      </c>
      <c r="F7" s="66">
        <f>DERS_PLANI!R213</f>
        <v>0</v>
      </c>
    </row>
    <row r="8" spans="1:6" ht="24" customHeight="1">
      <c r="A8" s="196" t="s">
        <v>530</v>
      </c>
      <c r="B8" s="66" t="str">
        <f>DERS_PLANI!R166</f>
        <v>HUK402</v>
      </c>
      <c r="C8" s="66" t="str">
        <f>DERS_PLANI!R178</f>
        <v>ECON102</v>
      </c>
      <c r="D8" s="66" t="str">
        <f>DERS_PLANI!R190</f>
        <v>HUK106/126</v>
      </c>
      <c r="E8" s="66" t="str">
        <f>DERS_PLANI!R202</f>
        <v>HUK104/124</v>
      </c>
      <c r="F8" s="66">
        <f>DERS_PLANI!R214</f>
        <v>0</v>
      </c>
    </row>
    <row r="9" spans="1:6" ht="24" customHeight="1">
      <c r="A9" s="196" t="s">
        <v>727</v>
      </c>
      <c r="B9" s="66" t="str">
        <f>DERS_PLANI!R167</f>
        <v>HUK402</v>
      </c>
      <c r="C9" s="66" t="str">
        <f>DERS_PLANI!R179</f>
        <v>ECON102</v>
      </c>
      <c r="D9" s="66" t="str">
        <f>DERS_PLANI!R191</f>
        <v>HUK106/126</v>
      </c>
      <c r="E9" s="66" t="str">
        <f>DERS_PLANI!R203</f>
        <v>HUk110/122</v>
      </c>
      <c r="F9" s="66">
        <f>DERS_PLANI!R215</f>
        <v>0</v>
      </c>
    </row>
    <row r="10" spans="1:6" ht="24" customHeight="1">
      <c r="A10" s="196" t="s">
        <v>728</v>
      </c>
      <c r="B10" s="66">
        <f>DERS_PLANI!R168</f>
        <v>0</v>
      </c>
      <c r="C10" s="66">
        <f>DERS_PLANI!R180</f>
        <v>0</v>
      </c>
      <c r="D10" s="66">
        <f>DERS_PLANI!R192</f>
        <v>0</v>
      </c>
      <c r="E10" s="66" t="str">
        <f>DERS_PLANI!R204</f>
        <v>HUk110/122</v>
      </c>
      <c r="F10" s="66">
        <f>DERS_PLANI!R216</f>
        <v>0</v>
      </c>
    </row>
    <row r="11" spans="1:6" ht="24" customHeight="1">
      <c r="A11" s="196" t="s">
        <v>544</v>
      </c>
      <c r="B11" s="66">
        <f>DERS_PLANI!R169</f>
        <v>0</v>
      </c>
      <c r="C11" s="66">
        <f>DERS_PLANI!R181</f>
        <v>0</v>
      </c>
      <c r="D11" s="66">
        <f>DERS_PLANI!R193</f>
        <v>0</v>
      </c>
      <c r="E11" s="66">
        <f>DERS_PLANI!R205</f>
        <v>0</v>
      </c>
      <c r="F11" s="66">
        <f>DERS_PLANI!R217</f>
        <v>0</v>
      </c>
    </row>
    <row r="12" spans="1:6" ht="24" customHeight="1">
      <c r="A12" s="196" t="s">
        <v>705</v>
      </c>
      <c r="B12" s="66">
        <f>DERS_PLANI!R170</f>
        <v>0</v>
      </c>
      <c r="C12" s="66">
        <f>DERS_PLANI!R182</f>
        <v>0</v>
      </c>
      <c r="D12" s="66">
        <f>DERS_PLANI!R194</f>
        <v>0</v>
      </c>
      <c r="E12" s="66">
        <f>DERS_PLANI!R206</f>
        <v>0</v>
      </c>
      <c r="F12" s="66">
        <f>DERS_PLANI!R218</f>
        <v>0</v>
      </c>
    </row>
    <row r="13" spans="1:6" ht="24" customHeight="1">
      <c r="A13" s="196" t="s">
        <v>703</v>
      </c>
      <c r="B13" s="66">
        <f>DERS_PLANI!R171</f>
        <v>0</v>
      </c>
      <c r="C13" s="66">
        <f>DERS_PLANI!R183</f>
        <v>0</v>
      </c>
      <c r="D13" s="66">
        <f>DERS_PLANI!R195</f>
        <v>0</v>
      </c>
      <c r="E13" s="66">
        <f>DERS_PLANI!R207</f>
        <v>0</v>
      </c>
      <c r="F13" s="66">
        <f>DERS_PLANI!R219</f>
        <v>0</v>
      </c>
    </row>
    <row r="14" spans="1:6" ht="24" customHeight="1">
      <c r="A14" s="196" t="s">
        <v>704</v>
      </c>
      <c r="B14" s="66">
        <f>DERS_PLANI!R172</f>
        <v>0</v>
      </c>
      <c r="C14" s="66">
        <f>DERS_PLANI!R184</f>
        <v>0</v>
      </c>
      <c r="D14" s="66">
        <f>DERS_PLANI!R196</f>
        <v>0</v>
      </c>
      <c r="E14" s="66">
        <f>DERS_PLANI!R208</f>
        <v>0</v>
      </c>
      <c r="F14" s="66">
        <f>DERS_PLANI!R220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14D1-CAEA-4C66-B76E-5F5551691185}">
  <sheetPr>
    <pageSetUpPr fitToPage="1"/>
  </sheetPr>
  <dimension ref="A1:F14"/>
  <sheetViews>
    <sheetView workbookViewId="0">
      <selection activeCell="F11" sqref="F11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60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DERS_PLANI!Q161</f>
        <v>FEL 101</v>
      </c>
      <c r="C3" s="164" t="str">
        <f>DERS_PLANI!Q173</f>
        <v xml:space="preserve">YBS 132 EKONOMİ
DR. ADİL AKKUŞ </v>
      </c>
      <c r="D3" s="164" t="str">
        <f>DERS_PLANI!Q185</f>
        <v>MIS 122  (Dr. Bayar)</v>
      </c>
      <c r="E3" s="164" t="str">
        <f>DERS_PLANI!Q197</f>
        <v>PSİ 219</v>
      </c>
      <c r="F3" s="164" t="str">
        <f>DERS_PLANI!Q209</f>
        <v xml:space="preserve">PSİ 103          </v>
      </c>
    </row>
    <row r="4" spans="1:6" ht="24" customHeight="1">
      <c r="A4" s="196" t="s">
        <v>723</v>
      </c>
      <c r="B4" s="164" t="str">
        <f>DERS_PLANI!Q162</f>
        <v>FEL 101</v>
      </c>
      <c r="C4" s="164" t="str">
        <f>DERS_PLANI!Q174</f>
        <v xml:space="preserve">YBS 132 EKONOMİ
DR. ADİL AKKUŞ </v>
      </c>
      <c r="D4" s="164" t="str">
        <f>DERS_PLANI!Q186</f>
        <v>MIS 122  (Dr. Bayar)</v>
      </c>
      <c r="E4" s="164" t="str">
        <f>DERS_PLANI!Q198</f>
        <v>PSİ 219</v>
      </c>
      <c r="F4" s="164" t="str">
        <f>DERS_PLANI!Q210</f>
        <v xml:space="preserve">PSİ 103          </v>
      </c>
    </row>
    <row r="5" spans="1:6" ht="24" customHeight="1">
      <c r="A5" s="196" t="s">
        <v>724</v>
      </c>
      <c r="B5" s="164" t="str">
        <f>DERS_PLANI!Q163</f>
        <v>FEL 101</v>
      </c>
      <c r="C5" s="164" t="str">
        <f>DERS_PLANI!Q175</f>
        <v xml:space="preserve">YBS 132 EKONOMİ
DR. ADİL AKKUŞ </v>
      </c>
      <c r="D5" s="164" t="str">
        <f>DERS_PLANI!Q187</f>
        <v>MIS 122  (Dr. Bayar)</v>
      </c>
      <c r="E5" s="164" t="str">
        <f>DERS_PLANI!Q199</f>
        <v>PSİ 219</v>
      </c>
      <c r="F5" s="164" t="str">
        <f>DERS_PLANI!Q211</f>
        <v xml:space="preserve">PSİ 103          </v>
      </c>
    </row>
    <row r="6" spans="1:6" ht="24" customHeight="1">
      <c r="A6" s="196" t="s">
        <v>725</v>
      </c>
      <c r="B6" s="164" t="str">
        <f>DERS_PLANI!Q164</f>
        <v>PHIL 101</v>
      </c>
      <c r="C6" s="164" t="str">
        <f>DERS_PLANI!Q176</f>
        <v>PSİ 109</v>
      </c>
      <c r="D6" s="164" t="str">
        <f>DERS_PLANI!Q188</f>
        <v>ETI 114 (Doç. Düzgün)</v>
      </c>
      <c r="E6" s="164" t="str">
        <f>DERS_PLANI!Q200</f>
        <v>PSİ 104</v>
      </c>
      <c r="F6" s="164" t="str">
        <f>DERS_PLANI!Q212</f>
        <v xml:space="preserve">PSY 102 Telafi </v>
      </c>
    </row>
    <row r="7" spans="1:6" ht="24" customHeight="1">
      <c r="A7" s="196" t="s">
        <v>726</v>
      </c>
      <c r="B7" s="164" t="str">
        <f>DERS_PLANI!Q165</f>
        <v>PHIL 101</v>
      </c>
      <c r="C7" s="164" t="str">
        <f>DERS_PLANI!Q177</f>
        <v>PSİ 109</v>
      </c>
      <c r="D7" s="164" t="str">
        <f>DERS_PLANI!Q189</f>
        <v>ETI 114 (Doç. Düzgün)</v>
      </c>
      <c r="E7" s="164" t="str">
        <f>DERS_PLANI!Q201</f>
        <v>PSİ 104</v>
      </c>
      <c r="F7" s="164" t="str">
        <f>DERS_PLANI!Q213</f>
        <v xml:space="preserve">PSY 102 Telafi </v>
      </c>
    </row>
    <row r="8" spans="1:6" ht="24" customHeight="1">
      <c r="A8" s="196" t="s">
        <v>530</v>
      </c>
      <c r="B8" s="164" t="str">
        <f>DERS_PLANI!Q166</f>
        <v>PHIL 101</v>
      </c>
      <c r="C8" s="164" t="str">
        <f>DERS_PLANI!Q178</f>
        <v>PSİ 109</v>
      </c>
      <c r="D8" s="164" t="str">
        <f>DERS_PLANI!Q190</f>
        <v>ETI 114 (Doç. Düzgün)</v>
      </c>
      <c r="E8" s="164" t="str">
        <f>DERS_PLANI!Q202</f>
        <v>PSİ 104</v>
      </c>
      <c r="F8" s="164" t="str">
        <f>DERS_PLANI!Q214</f>
        <v xml:space="preserve">PSY 102 Telafi </v>
      </c>
    </row>
    <row r="9" spans="1:6" ht="24" customHeight="1">
      <c r="A9" s="196" t="s">
        <v>727</v>
      </c>
      <c r="B9" s="164">
        <f>DERS_PLANI!Q167</f>
        <v>0</v>
      </c>
      <c r="C9" s="164" t="str">
        <f>DERS_PLANI!Q179</f>
        <v xml:space="preserve">PSİ 455 </v>
      </c>
      <c r="D9" s="164">
        <f>DERS_PLANI!Q191</f>
        <v>0</v>
      </c>
      <c r="E9" s="164" t="str">
        <f>DERS_PLANI!Q203</f>
        <v>PSİ 102</v>
      </c>
      <c r="F9" s="164" t="str">
        <f>DERS_PLANI!Q215</f>
        <v>YBS 112 İNSAN KAYNAKLARI YÖNETİMİ
DR. POLAT</v>
      </c>
    </row>
    <row r="10" spans="1:6" ht="24" customHeight="1">
      <c r="A10" s="196" t="s">
        <v>728</v>
      </c>
      <c r="B10" s="164">
        <f>DERS_PLANI!Q168</f>
        <v>0</v>
      </c>
      <c r="C10" s="164" t="str">
        <f>DERS_PLANI!Q180</f>
        <v xml:space="preserve">PSİ 455 </v>
      </c>
      <c r="D10" s="164">
        <f>DERS_PLANI!Q192</f>
        <v>0</v>
      </c>
      <c r="E10" s="164" t="str">
        <f>DERS_PLANI!Q204</f>
        <v>PSİ 102</v>
      </c>
      <c r="F10" s="164" t="str">
        <f>DERS_PLANI!Q216</f>
        <v>YBS 112 İNSAN KAYNAKLARI YÖNETİMİ
DR. POLAT</v>
      </c>
    </row>
    <row r="11" spans="1:6" ht="24" customHeight="1">
      <c r="A11" s="196" t="s">
        <v>544</v>
      </c>
      <c r="B11" s="164">
        <f>DERS_PLANI!Q169</f>
        <v>0</v>
      </c>
      <c r="C11" s="164" t="str">
        <f>DERS_PLANI!Q181</f>
        <v xml:space="preserve">PSİ 455 </v>
      </c>
      <c r="D11" s="164">
        <f>DERS_PLANI!Q193</f>
        <v>0</v>
      </c>
      <c r="E11" s="164" t="str">
        <f>DERS_PLANI!Q205</f>
        <v>PSİ 102</v>
      </c>
      <c r="F11" s="164" t="str">
        <f>DERS_PLANI!Q217</f>
        <v>YBS 112 İNSAN KAYNAKLARI YÖNETİMİ
DR. POLAT</v>
      </c>
    </row>
    <row r="12" spans="1:6" ht="24" customHeight="1">
      <c r="A12" s="196" t="s">
        <v>705</v>
      </c>
      <c r="B12" s="164">
        <f>DERS_PLANI!Q170</f>
        <v>0</v>
      </c>
      <c r="C12" s="164">
        <f>DERS_PLANI!Q182</f>
        <v>0</v>
      </c>
      <c r="D12" s="164">
        <f>DERS_PLANI!Q194</f>
        <v>0</v>
      </c>
      <c r="E12" s="164">
        <f>DERS_PLANI!Q206</f>
        <v>0</v>
      </c>
      <c r="F12" s="164">
        <f>DERS_PLANI!Q218</f>
        <v>0</v>
      </c>
    </row>
    <row r="13" spans="1:6" ht="24" customHeight="1">
      <c r="A13" s="196" t="s">
        <v>703</v>
      </c>
      <c r="B13" s="164">
        <f>DERS_PLANI!Q171</f>
        <v>0</v>
      </c>
      <c r="C13" s="164">
        <f>DERS_PLANI!Q183</f>
        <v>0</v>
      </c>
      <c r="D13" s="164">
        <f>DERS_PLANI!Q195</f>
        <v>0</v>
      </c>
      <c r="E13" s="164">
        <f>DERS_PLANI!Q207</f>
        <v>0</v>
      </c>
      <c r="F13" s="164">
        <f>DERS_PLANI!Q219</f>
        <v>0</v>
      </c>
    </row>
    <row r="14" spans="1:6" ht="24" customHeight="1">
      <c r="A14" s="196" t="s">
        <v>704</v>
      </c>
      <c r="B14" s="164">
        <f>DERS_PLANI!Q172</f>
        <v>0</v>
      </c>
      <c r="C14" s="164">
        <f>DERS_PLANI!Q184</f>
        <v>0</v>
      </c>
      <c r="D14" s="164">
        <f>DERS_PLANI!Q196</f>
        <v>0</v>
      </c>
      <c r="E14" s="164">
        <f>DERS_PLANI!Q208</f>
        <v>0</v>
      </c>
      <c r="F14" s="164">
        <f>DERS_PLANI!Q220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A137-D571-4B37-A4E4-B17D350A143A}">
  <sheetPr>
    <pageSetUpPr fitToPage="1"/>
  </sheetPr>
  <dimension ref="A1:F14"/>
  <sheetViews>
    <sheetView workbookViewId="0">
      <selection activeCell="D7" sqref="D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57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DERS_PLANI!P161</f>
        <v>SENG 324 (Teorik) - Sec 1 (Mahmut Nedim Alpdemir)</v>
      </c>
      <c r="C3" s="164" t="str">
        <f>DERS_PLANI!P173</f>
        <v>SENG 322 (Teorik) - Sec 1 (Sarper Alkan)</v>
      </c>
      <c r="D3" s="164" t="str">
        <f>DERS_PLANI!P185</f>
        <v>BIO 101 (Teorik) - Sec 1 (Ayşe Özdemir)</v>
      </c>
      <c r="E3" s="164" t="str">
        <f>DERS_PLANI!P197</f>
        <v>SENG 264 (Teorik) - Sec 2 (Sarper Alkan)</v>
      </c>
      <c r="F3" s="164" t="str">
        <f>DERS_PLANI!P209</f>
        <v>BM 332 (Teorik) - Sec 1 (Ender Sevinç)</v>
      </c>
    </row>
    <row r="4" spans="1:6" ht="24" customHeight="1">
      <c r="A4" s="196" t="s">
        <v>723</v>
      </c>
      <c r="B4" s="164" t="str">
        <f>DERS_PLANI!P162</f>
        <v>SENG 324 (Teorik) - Sec 1 (Mahmut Nedim Alpdemir)</v>
      </c>
      <c r="C4" s="164" t="str">
        <f>DERS_PLANI!P174</f>
        <v>SENG 322 (Teorik) - Sec 1 (Sarper Alkan)</v>
      </c>
      <c r="D4" s="164" t="str">
        <f>DERS_PLANI!P186</f>
        <v>BIO 101 (Teorik) - Sec 1 (Ayşe Özdemir)</v>
      </c>
      <c r="E4" s="164" t="str">
        <f>DERS_PLANI!P198</f>
        <v>SENG 264 (Teorik) - Sec 2 (Sarper Alkan)</v>
      </c>
      <c r="F4" s="164" t="str">
        <f>DERS_PLANI!P210</f>
        <v>BM 332 (Teorik) - Sec 1 (Ender Sevinç)</v>
      </c>
    </row>
    <row r="5" spans="1:6" ht="24" customHeight="1">
      <c r="A5" s="196" t="s">
        <v>724</v>
      </c>
      <c r="B5" s="164" t="str">
        <f>DERS_PLANI!P163</f>
        <v>SENG 324 (Teorik) - Sec 1 (Mahmut Nedim Alpdemir)</v>
      </c>
      <c r="C5" s="164" t="str">
        <f>DERS_PLANI!P175</f>
        <v>SENG 322 (Teorik) - Sec 1 (Sarper Alkan)</v>
      </c>
      <c r="D5" s="164" t="str">
        <f>DERS_PLANI!P187</f>
        <v>BIO 101 (Teorik) - Sec 1 (Ayşe Özdemir)</v>
      </c>
      <c r="E5" s="164" t="str">
        <f>DERS_PLANI!P199</f>
        <v>SENG 264 (Teorik) - Sec 2 (Sarper Alkan)</v>
      </c>
      <c r="F5" s="164" t="str">
        <f>DERS_PLANI!P211</f>
        <v>BM 332 (Teorik) - Sec 1 (Ender Sevinç)</v>
      </c>
    </row>
    <row r="6" spans="1:6" ht="24" customHeight="1">
      <c r="A6" s="196" t="s">
        <v>725</v>
      </c>
      <c r="B6" s="164" t="str">
        <f>DERS_PLANI!P164</f>
        <v>CENG 102 (Teorik) - Sec 1 (Hasan Karaaslan)</v>
      </c>
      <c r="C6" s="164" t="str">
        <f>DERS_PLANI!P176</f>
        <v>CENG 424 (Teorik) - Sec 1 (Halil Özmen)</v>
      </c>
      <c r="D6" s="164" t="str">
        <f>DERS_PLANI!P188</f>
        <v>EEE 304 (Teorik) - Sec 1 (Hamed K.)</v>
      </c>
      <c r="E6" s="164" t="str">
        <f>DERS_PLANI!P200</f>
        <v>EEE 203 (Teorik) - Sec 1 (Hamed K.)- CENG-SENG-ISE-EEE Ortak Ders</v>
      </c>
      <c r="F6" s="164">
        <f>DERS_PLANI!P212</f>
        <v>0</v>
      </c>
    </row>
    <row r="7" spans="1:6" ht="24" customHeight="1">
      <c r="A7" s="196" t="s">
        <v>726</v>
      </c>
      <c r="B7" s="164" t="str">
        <f>DERS_PLANI!P165</f>
        <v>CENG 102 (Teorik) - Sec 1 (Hasan Karaaslan)</v>
      </c>
      <c r="C7" s="164" t="str">
        <f>DERS_PLANI!P177</f>
        <v>CENG 424 (Teorik) - Sec 1 (Halil Özmen)</v>
      </c>
      <c r="D7" s="164" t="str">
        <f>DERS_PLANI!P189</f>
        <v>EEE 304 (Teorik) - Sec 1 (Hamed K.)</v>
      </c>
      <c r="E7" s="164" t="str">
        <f>DERS_PLANI!P201</f>
        <v>EEE 203 (Teorik) - Sec 1 (Hamed K.)- CENG-SENG-ISE-EEE Ortak Ders</v>
      </c>
      <c r="F7" s="164">
        <f>DERS_PLANI!P213</f>
        <v>0</v>
      </c>
    </row>
    <row r="8" spans="1:6" ht="24" customHeight="1">
      <c r="A8" s="196" t="s">
        <v>530</v>
      </c>
      <c r="B8" s="164" t="str">
        <f>DERS_PLANI!P166</f>
        <v>CENG 102 (Teorik) - Sec 1 (Hasan Karaaslan)</v>
      </c>
      <c r="C8" s="164" t="str">
        <f>DERS_PLANI!P178</f>
        <v>CENG 424 (Teorik) - Sec 1 (Halil Özmen)</v>
      </c>
      <c r="D8" s="164" t="str">
        <f>DERS_PLANI!P190</f>
        <v>EEE 304 (Teorik) - Sec 1 (Hamed K.)</v>
      </c>
      <c r="E8" s="164" t="str">
        <f>DERS_PLANI!P202</f>
        <v>EEE 203 (Teorik) - Sec 1 (Hamed K.)- CENG-SENG-ISE-EEE Ortak Ders</v>
      </c>
      <c r="F8" s="164">
        <f>DERS_PLANI!P214</f>
        <v>0</v>
      </c>
    </row>
    <row r="9" spans="1:6" ht="24" customHeight="1">
      <c r="A9" s="196" t="s">
        <v>727</v>
      </c>
      <c r="B9" s="164" t="str">
        <f>DERS_PLANI!P167</f>
        <v>BM 214 (Teorik) - Sec 1 (Emre Alıç)</v>
      </c>
      <c r="C9" s="164" t="str">
        <f>DERS_PLANI!P179</f>
        <v>CENG 332 (Teorik) - Sec 1 (Ender Sevinç)</v>
      </c>
      <c r="D9" s="164" t="str">
        <f>DERS_PLANI!P191</f>
        <v>CENG 256 (Teorik) - Sec 2 (Ekrem Çağlar)</v>
      </c>
      <c r="E9" s="164" t="str">
        <f>DERS_PLANI!P203</f>
        <v>SENG 264 (Teorik) - Sec 3 (Sarper Alkan)</v>
      </c>
      <c r="F9" s="164">
        <f>DERS_PLANI!P215</f>
        <v>0</v>
      </c>
    </row>
    <row r="10" spans="1:6" ht="24" customHeight="1">
      <c r="A10" s="197" t="s">
        <v>728</v>
      </c>
      <c r="B10" s="164" t="str">
        <f>DERS_PLANI!P168</f>
        <v>BM 214 (Teorik) - Sec 1 (Emre Alıç)</v>
      </c>
      <c r="C10" s="164" t="str">
        <f>DERS_PLANI!P180</f>
        <v>CENG 332 (Teorik) - Sec 1 (Ender Sevinç)</v>
      </c>
      <c r="D10" s="164" t="str">
        <f>DERS_PLANI!P192</f>
        <v>CENG 256 (Teorik) - Sec 2 (Ekrem Çağlar)</v>
      </c>
      <c r="E10" s="164" t="str">
        <f>DERS_PLANI!P204</f>
        <v>SENG 264 (Teorik) - Sec 3 (Sarper Alkan)</v>
      </c>
      <c r="F10" s="164">
        <f>DERS_PLANI!P216</f>
        <v>0</v>
      </c>
    </row>
    <row r="11" spans="1:6" ht="24" customHeight="1">
      <c r="A11" s="198" t="s">
        <v>544</v>
      </c>
      <c r="B11" s="164" t="str">
        <f>DERS_PLANI!P169</f>
        <v>BM 214 (Teorik) - Sec 1 (Emre Alıç)</v>
      </c>
      <c r="C11" s="164" t="str">
        <f>DERS_PLANI!P181</f>
        <v>CENG 332 (Teorik) - Sec 1 (Ender Sevinç)</v>
      </c>
      <c r="D11" s="164" t="str">
        <f>DERS_PLANI!P193</f>
        <v>CENG 256 (Teorik) - Sec 2 (Ekrem Çağlar)</v>
      </c>
      <c r="E11" s="164" t="str">
        <f>DERS_PLANI!P205</f>
        <v>SENG 264 (Teorik) - Sec 3 (Sarper Alkan)</v>
      </c>
      <c r="F11" s="164">
        <f>DERS_PLANI!P217</f>
        <v>0</v>
      </c>
    </row>
    <row r="12" spans="1:6" ht="24" customHeight="1">
      <c r="A12" s="198" t="s">
        <v>705</v>
      </c>
      <c r="B12" s="164">
        <f>DERS_PLANI!P170</f>
        <v>0</v>
      </c>
      <c r="C12" s="164">
        <f>DERS_PLANI!P182</f>
        <v>0</v>
      </c>
      <c r="D12" s="164">
        <f>DERS_PLANI!P194</f>
        <v>0</v>
      </c>
      <c r="E12" s="164">
        <f>DERS_PLANI!P206</f>
        <v>0</v>
      </c>
      <c r="F12" s="164">
        <f>DERS_PLANI!P218</f>
        <v>0</v>
      </c>
    </row>
    <row r="13" spans="1:6" ht="24" customHeight="1">
      <c r="A13" s="198" t="s">
        <v>703</v>
      </c>
      <c r="B13" s="164">
        <f>DERS_PLANI!P171</f>
        <v>0</v>
      </c>
      <c r="C13" s="164">
        <f>DERS_PLANI!P183</f>
        <v>0</v>
      </c>
      <c r="D13" s="164">
        <f>DERS_PLANI!P195</f>
        <v>0</v>
      </c>
      <c r="E13" s="164">
        <f>DERS_PLANI!P207</f>
        <v>0</v>
      </c>
      <c r="F13" s="164">
        <f>DERS_PLANI!P219</f>
        <v>0</v>
      </c>
    </row>
    <row r="14" spans="1:6" ht="24" customHeight="1">
      <c r="A14" s="198" t="s">
        <v>704</v>
      </c>
      <c r="B14" s="164">
        <f>DERS_PLANI!P172</f>
        <v>0</v>
      </c>
      <c r="C14" s="164">
        <f>DERS_PLANI!P184</f>
        <v>0</v>
      </c>
      <c r="D14" s="164">
        <f>DERS_PLANI!P196</f>
        <v>0</v>
      </c>
      <c r="E14" s="164">
        <f>DERS_PLANI!P208</f>
        <v>0</v>
      </c>
      <c r="F14" s="164">
        <f>DERS_PLANI!P220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FF30-D711-4965-A8FC-BAF69252C5A7}">
  <sheetPr>
    <pageSetUpPr fitToPage="1"/>
  </sheetPr>
  <dimension ref="A1:F14"/>
  <sheetViews>
    <sheetView workbookViewId="0">
      <selection activeCell="D6" sqref="D6: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54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DERS_PLANI!O161</f>
        <v>IE 242 Cost Analysis in Engineering Dr. Orhan GERDAN</v>
      </c>
      <c r="C3" s="164" t="str">
        <f>DERS_PLANI!O173</f>
        <v>IE 324 Project Management Dr. Orhan GERDAN</v>
      </c>
      <c r="D3" s="164" t="str">
        <f>DERS_PLANI!O185</f>
        <v>IE 232 Operations Research I Doç. Dr. Yavuz Selim ÖZDEMİR</v>
      </c>
      <c r="E3" s="164" t="str">
        <f>DERS_PLANI!O197</f>
        <v>IE 346 Decision Analysis Doç. Dr. Yavuz Selim ÖZDEMİR</v>
      </c>
      <c r="F3" s="164" t="str">
        <f>DERS_PLANI!O209</f>
        <v>IE 376 Management Information Systems (Technical Elective I ) Doç. Dr. Yavuz Selim ÖZDEMİR</v>
      </c>
    </row>
    <row r="4" spans="1:6" ht="24" customHeight="1">
      <c r="A4" s="196" t="s">
        <v>723</v>
      </c>
      <c r="B4" s="164" t="str">
        <f>DERS_PLANI!O162</f>
        <v>IE 242 Cost Analysis in Engineering Dr. Orhan GERDAN</v>
      </c>
      <c r="C4" s="164" t="str">
        <f>DERS_PLANI!O174</f>
        <v>IE 324 Project Management Dr. Orhan GERDAN</v>
      </c>
      <c r="D4" s="164" t="str">
        <f>DERS_PLANI!O186</f>
        <v>IE 232 Operations Research I Doç. Dr. Yavuz Selim ÖZDEMİR</v>
      </c>
      <c r="E4" s="164" t="str">
        <f>DERS_PLANI!O198</f>
        <v>IE 346 Decision Analysis Doç. Dr. Yavuz Selim ÖZDEMİR</v>
      </c>
      <c r="F4" s="164" t="str">
        <f>DERS_PLANI!O210</f>
        <v>IE 376 Management Information Systems (Technical Elective I ) Doç. Dr. Yavuz Selim ÖZDEMİR</v>
      </c>
    </row>
    <row r="5" spans="1:6" ht="24" customHeight="1">
      <c r="A5" s="196" t="s">
        <v>724</v>
      </c>
      <c r="B5" s="164" t="str">
        <f>DERS_PLANI!O163</f>
        <v>IE 242 Cost Analysis in Engineering Dr. Orhan GERDAN</v>
      </c>
      <c r="C5" s="164" t="str">
        <f>DERS_PLANI!O175</f>
        <v>IE 324 Project Management Dr. Orhan GERDAN</v>
      </c>
      <c r="D5" s="164" t="str">
        <f>DERS_PLANI!O187</f>
        <v>IE 232 Operations Research I Doç. Dr. Yavuz Selim ÖZDEMİR</v>
      </c>
      <c r="E5" s="164" t="str">
        <f>DERS_PLANI!O199</f>
        <v>IE 346 Decision Analysis Doç. Dr. Yavuz Selim ÖZDEMİR</v>
      </c>
      <c r="F5" s="164" t="str">
        <f>DERS_PLANI!O211</f>
        <v>IE 376 Management Information Systems (Technical Elective I ) Doç. Dr. Yavuz Selim ÖZDEMİR</v>
      </c>
    </row>
    <row r="6" spans="1:6" ht="24" customHeight="1">
      <c r="A6" s="196" t="s">
        <v>725</v>
      </c>
      <c r="B6" s="164">
        <f>DERS_PLANI!O164</f>
        <v>0</v>
      </c>
      <c r="C6" s="164" t="str">
        <f>DERS_PLANI!O176</f>
        <v>IE 202 Work Study and Ergonomics Dr. Arda ALP</v>
      </c>
      <c r="D6" s="316" t="str">
        <f>DERS_PLANI!O188</f>
        <v>IE 362 Supply Chain Management (Technical Elective II) Dr. Orhan GERDAN</v>
      </c>
      <c r="E6" s="164" t="str">
        <f>DERS_PLANI!O200</f>
        <v>IE 224 Manufacturing Processes Doç. Dr. Benhür Satır</v>
      </c>
      <c r="F6" s="164">
        <f>DERS_PLANI!O212</f>
        <v>0</v>
      </c>
    </row>
    <row r="7" spans="1:6" ht="24" customHeight="1">
      <c r="A7" s="196" t="s">
        <v>726</v>
      </c>
      <c r="B7" s="164" t="str">
        <f>DERS_PLANI!O165</f>
        <v>ENG 302 - 10</v>
      </c>
      <c r="C7" s="164" t="str">
        <f>DERS_PLANI!O177</f>
        <v>IE 202 Work Study and Ergonomics Dr. Arda ALP</v>
      </c>
      <c r="D7" s="316" t="str">
        <f>DERS_PLANI!O189</f>
        <v>IE 362 Supply Chain Management (Technical Elective II) Dr. Orhan GERDAN</v>
      </c>
      <c r="E7" s="164" t="str">
        <f>DERS_PLANI!O201</f>
        <v>IE 224 Manufacturing Processes Doç. Dr. Benhür Satır</v>
      </c>
      <c r="F7" s="164">
        <f>DERS_PLANI!O213</f>
        <v>0</v>
      </c>
    </row>
    <row r="8" spans="1:6" ht="24" customHeight="1">
      <c r="A8" s="196" t="s">
        <v>530</v>
      </c>
      <c r="B8" s="164" t="str">
        <f>DERS_PLANI!O166</f>
        <v>ENG 302 - 10</v>
      </c>
      <c r="C8" s="164" t="str">
        <f>DERS_PLANI!O178</f>
        <v>IE 202 Work Study and Ergonomics Dr. Arda ALP</v>
      </c>
      <c r="D8" s="316" t="str">
        <f>DERS_PLANI!O190</f>
        <v>IE 362 Supply Chain Management (Technical Elective II) Dr. Orhan GERDAN</v>
      </c>
      <c r="E8" s="164" t="str">
        <f>DERS_PLANI!O202</f>
        <v>IE 224 Manufacturing Processes Doç. Dr. Benhür Satır</v>
      </c>
      <c r="F8" s="164">
        <f>DERS_PLANI!O214</f>
        <v>0</v>
      </c>
    </row>
    <row r="9" spans="1:6" ht="24" customHeight="1">
      <c r="A9" s="196" t="s">
        <v>727</v>
      </c>
      <c r="B9" s="164" t="str">
        <f>DERS_PLANI!O167</f>
        <v>IE 366 Production Planning and Control II Dr. Orhan GERDAN</v>
      </c>
      <c r="C9" s="164" t="str">
        <f>DERS_PLANI!O179</f>
        <v>EEE 204 (Teorik) - Sec 1 (Hamed K.)</v>
      </c>
      <c r="D9" s="164" t="str">
        <f>DERS_PLANI!O191</f>
        <v>MATH 224 (Teorik) - Sec 2(Mustafa Akkaya)</v>
      </c>
      <c r="E9" s="164" t="str">
        <f>DERS_PLANI!O203</f>
        <v>IE 370 System Analysis (Technical Elective III) Dr. Arda ALP</v>
      </c>
      <c r="F9" s="164" t="str">
        <f>DERS_PLANI!O215</f>
        <v>IE 228 Engineering Statistics Dr. Arda ALP</v>
      </c>
    </row>
    <row r="10" spans="1:6" ht="24" customHeight="1">
      <c r="A10" s="196" t="s">
        <v>728</v>
      </c>
      <c r="B10" s="164" t="str">
        <f>DERS_PLANI!O168</f>
        <v>IE 366 Production Planning and Control II Dr. Orhan GERDAN</v>
      </c>
      <c r="C10" s="164" t="str">
        <f>DERS_PLANI!O180</f>
        <v>EEE 204 (Teorik) - Sec 1 (Hamed K.)</v>
      </c>
      <c r="D10" s="164" t="str">
        <f>DERS_PLANI!O192</f>
        <v>MATH 224 (Teorik) - Sec 2(Mustafa Akkaya)</v>
      </c>
      <c r="E10" s="164" t="str">
        <f>DERS_PLANI!O204</f>
        <v>IE 370 System Analysis (Technical Elective III) Dr. Arda ALP</v>
      </c>
      <c r="F10" s="164" t="str">
        <f>DERS_PLANI!O216</f>
        <v>IE 228 Engineering Statistics Dr. Arda ALP</v>
      </c>
    </row>
    <row r="11" spans="1:6" ht="24" customHeight="1">
      <c r="A11" s="196" t="s">
        <v>544</v>
      </c>
      <c r="B11" s="164" t="str">
        <f>DERS_PLANI!O169</f>
        <v>IE 366 Production Planning and Control II Dr. Orhan GERDAN</v>
      </c>
      <c r="C11" s="164" t="str">
        <f>DERS_PLANI!O181</f>
        <v>EEE 204 (Teorik) - Sec 1 (Hamed K.)</v>
      </c>
      <c r="D11" s="164" t="str">
        <f>DERS_PLANI!O193</f>
        <v>MATH 224 (Teorik) - Sec 2(Mustafa Akkaya)</v>
      </c>
      <c r="E11" s="164" t="str">
        <f>DERS_PLANI!O205</f>
        <v>IE 370 System Analysis (Technical Elective III) Dr. Arda ALP</v>
      </c>
      <c r="F11" s="164" t="str">
        <f>DERS_PLANI!O217</f>
        <v>IE 228 Engineering Statistics Dr. Arda ALP</v>
      </c>
    </row>
    <row r="12" spans="1:6" ht="24" customHeight="1">
      <c r="A12" s="196" t="s">
        <v>705</v>
      </c>
      <c r="B12" s="164" t="str">
        <f>DERS_PLANI!O170</f>
        <v>SENG 501 - Yazılım Proje Yönetimi</v>
      </c>
      <c r="C12" s="164">
        <f>DERS_PLANI!O182</f>
        <v>0</v>
      </c>
      <c r="D12" s="164">
        <f>DERS_PLANI!O194</f>
        <v>0</v>
      </c>
      <c r="E12" s="164">
        <f>DERS_PLANI!O206</f>
        <v>0</v>
      </c>
      <c r="F12" s="164">
        <f>DERS_PLANI!O218</f>
        <v>0</v>
      </c>
    </row>
    <row r="13" spans="1:6" ht="24" customHeight="1">
      <c r="A13" s="196" t="s">
        <v>703</v>
      </c>
      <c r="B13" s="164" t="str">
        <f>DERS_PLANI!O171</f>
        <v>SENG 501 - Yazılım Proje Yönetimi</v>
      </c>
      <c r="C13" s="164">
        <f>DERS_PLANI!O183</f>
        <v>0</v>
      </c>
      <c r="D13" s="164">
        <f>DERS_PLANI!O195</f>
        <v>0</v>
      </c>
      <c r="E13" s="164">
        <f>DERS_PLANI!O207</f>
        <v>0</v>
      </c>
      <c r="F13" s="164">
        <f>DERS_PLANI!O219</f>
        <v>0</v>
      </c>
    </row>
    <row r="14" spans="1:6" ht="24" customHeight="1">
      <c r="A14" s="196" t="s">
        <v>704</v>
      </c>
      <c r="B14" s="164" t="str">
        <f>DERS_PLANI!O172</f>
        <v>SENG 501 - Yazılım Proje Yönetimi</v>
      </c>
      <c r="C14" s="164">
        <f>DERS_PLANI!O184</f>
        <v>0</v>
      </c>
      <c r="D14" s="164">
        <f>DERS_PLANI!O196</f>
        <v>0</v>
      </c>
      <c r="E14" s="164">
        <f>DERS_PLANI!O208</f>
        <v>0</v>
      </c>
      <c r="F14" s="164">
        <f>DERS_PLANI!O220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CF34-DE0E-424A-8FBA-CFC1AFF94DC8}">
  <sheetPr>
    <pageSetUpPr fitToPage="1"/>
  </sheetPr>
  <dimension ref="A1:F14"/>
  <sheetViews>
    <sheetView workbookViewId="0">
      <selection activeCell="D4" sqref="D4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51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DERS_PLANI!N161</f>
        <v>BM 102 (Teorik) - Sec 1 (Hasan Karaaslan)</v>
      </c>
      <c r="C3" s="164" t="str">
        <f>DERS_PLANI!N173</f>
        <v>BIY 101 (Teorik) - Sec 1 (Ayşe Özdemir)</v>
      </c>
      <c r="D3" s="164" t="str">
        <f>DERS_PLANI!N185</f>
        <v>CENG 336 (Teorik) - Sec 2 (Ayhan Akbaş)</v>
      </c>
      <c r="E3" s="164" t="str">
        <f>DERS_PLANI!N197</f>
        <v>CENG 384 (Teorik) - Sec 1 (Hakan Çağlar)</v>
      </c>
      <c r="F3" s="164" t="str">
        <f>DERS_PLANI!N209</f>
        <v>SENG 420 (Teorik) - Sec 1 (Yüksel Arslan)</v>
      </c>
    </row>
    <row r="4" spans="1:6" ht="24" customHeight="1">
      <c r="A4" s="196" t="s">
        <v>723</v>
      </c>
      <c r="B4" s="164" t="str">
        <f>DERS_PLANI!N162</f>
        <v>BM 102 (Teorik) - Sec 1 (Hasan Karaaslan)</v>
      </c>
      <c r="C4" s="164" t="str">
        <f>DERS_PLANI!N174</f>
        <v>BIY 101 (Teorik) - Sec 1 (Ayşe Özdemir)</v>
      </c>
      <c r="D4" s="164" t="str">
        <f>DERS_PLANI!N186</f>
        <v>CENG 336 (Teorik) - Sec 2 (Ayhan Akbaş)</v>
      </c>
      <c r="E4" s="164" t="str">
        <f>DERS_PLANI!N198</f>
        <v>CENG 384 (Teorik) - Sec 1 (Hakan Çağlar)</v>
      </c>
      <c r="F4" s="164" t="str">
        <f>DERS_PLANI!N210</f>
        <v>SENG 420 (Teorik) - Sec 1 (Yüksel Arslan)</v>
      </c>
    </row>
    <row r="5" spans="1:6" ht="24" customHeight="1">
      <c r="A5" s="196" t="s">
        <v>724</v>
      </c>
      <c r="B5" s="164" t="str">
        <f>DERS_PLANI!N163</f>
        <v>BM 102 (Teorik) - Sec 1 (Hasan Karaaslan)</v>
      </c>
      <c r="C5" s="164" t="str">
        <f>DERS_PLANI!N175</f>
        <v>BIY 101 (Teorik) - Sec 1 (Ayşe Özdemir)</v>
      </c>
      <c r="D5" s="164" t="str">
        <f>DERS_PLANI!N187</f>
        <v>CENG 336 (Teorik) - Sec 2 (Ayhan Akbaş)</v>
      </c>
      <c r="E5" s="164" t="str">
        <f>DERS_PLANI!N199</f>
        <v>CENG 384 (Teorik) - Sec 1 (Hakan Çağlar)</v>
      </c>
      <c r="F5" s="164" t="str">
        <f>DERS_PLANI!N211</f>
        <v>SENG 420 (Teorik) - Sec 1 (Yüksel Arslan)</v>
      </c>
    </row>
    <row r="6" spans="1:6" ht="24" customHeight="1">
      <c r="A6" s="196" t="s">
        <v>725</v>
      </c>
      <c r="B6" s="164" t="str">
        <f>DERS_PLANI!N164</f>
        <v>CENG 101 (Teorik) - Sec 1(Halil Özmen)</v>
      </c>
      <c r="C6" s="164" t="str">
        <f>DERS_PLANI!N176</f>
        <v>EEE 208 (Teorik) - Sec 1 (Parisa Akar)</v>
      </c>
      <c r="D6" s="164" t="str">
        <f>DERS_PLANI!N188</f>
        <v>ENG 302 - 07</v>
      </c>
      <c r="E6" s="164" t="str">
        <f>DERS_PLANI!N200</f>
        <v>FIZ 102 (Teorik) - Sec 1 (Esra Eroğlu)</v>
      </c>
      <c r="F6" s="164">
        <f>DERS_PLANI!N212</f>
        <v>0</v>
      </c>
    </row>
    <row r="7" spans="1:6" ht="24" customHeight="1">
      <c r="A7" s="196" t="s">
        <v>726</v>
      </c>
      <c r="B7" s="164" t="str">
        <f>DERS_PLANI!N165</f>
        <v>CENG 101 (Teorik) - Sec 1(Halil Özmen)</v>
      </c>
      <c r="C7" s="164" t="str">
        <f>DERS_PLANI!N177</f>
        <v>EEE 208 (Teorik) - Sec 1 (Parisa Akar)</v>
      </c>
      <c r="D7" s="164" t="str">
        <f>DERS_PLANI!N189</f>
        <v>ENG 302 - 07</v>
      </c>
      <c r="E7" s="164" t="str">
        <f>DERS_PLANI!N201</f>
        <v>FIZ 102 (Teorik) - Sec 1 (Esra Eroğlu)</v>
      </c>
      <c r="F7" s="164">
        <f>DERS_PLANI!N213</f>
        <v>0</v>
      </c>
    </row>
    <row r="8" spans="1:6" ht="24" customHeight="1">
      <c r="A8" s="196" t="s">
        <v>530</v>
      </c>
      <c r="B8" s="164" t="str">
        <f>DERS_PLANI!N166</f>
        <v>CENG 101 (Teorik) - Sec 1(Halil Özmen)</v>
      </c>
      <c r="C8" s="164" t="str">
        <f>DERS_PLANI!N178</f>
        <v>EEE 208 (Teorik) - Sec 1 (Parisa Akar)</v>
      </c>
      <c r="D8" s="164">
        <f>DERS_PLANI!N190</f>
        <v>0</v>
      </c>
      <c r="E8" s="164" t="str">
        <f>DERS_PLANI!N202</f>
        <v>FIZ 102 (Teorik) - Sec 1 (Esra Eroğlu)</v>
      </c>
      <c r="F8" s="164">
        <f>DERS_PLANI!N214</f>
        <v>0</v>
      </c>
    </row>
    <row r="9" spans="1:6" ht="24" customHeight="1">
      <c r="A9" s="196" t="s">
        <v>727</v>
      </c>
      <c r="B9" s="164" t="str">
        <f>DERS_PLANI!N167</f>
        <v>MYO - IHA108	HAVA ARACI SERTİFİKASYONU VE PİLOTAJ-I</v>
      </c>
      <c r="C9" s="164">
        <f>DERS_PLANI!N179</f>
        <v>0</v>
      </c>
      <c r="D9" s="164" t="str">
        <f>DERS_PLANI!N191</f>
        <v>ISE 322 (Teorik) - Sec 1 (Mesut Ünlü)</v>
      </c>
      <c r="E9" s="164" t="str">
        <f>DERS_PLANI!N203</f>
        <v>BM 336 (Teorik) - Sec 1 (Didem Tufan)</v>
      </c>
      <c r="F9" s="164">
        <f>DERS_PLANI!N215</f>
        <v>0</v>
      </c>
    </row>
    <row r="10" spans="1:6" ht="24" customHeight="1">
      <c r="A10" s="196" t="s">
        <v>728</v>
      </c>
      <c r="B10" s="164" t="str">
        <f>DERS_PLANI!N168</f>
        <v>MYO - IHA108	HAVA ARACI SERTİFİKASYONU VE PİLOTAJ-I</v>
      </c>
      <c r="C10" s="164">
        <f>DERS_PLANI!N180</f>
        <v>0</v>
      </c>
      <c r="D10" s="164" t="str">
        <f>DERS_PLANI!N192</f>
        <v>ISE 322 (Teorik) - Sec 1 (Mesut Ünlü)</v>
      </c>
      <c r="E10" s="164" t="str">
        <f>DERS_PLANI!N204</f>
        <v>BM 336 (Teorik) - Sec 1 (Didem Tufan)</v>
      </c>
      <c r="F10" s="164">
        <f>DERS_PLANI!N216</f>
        <v>0</v>
      </c>
    </row>
    <row r="11" spans="1:6" ht="24" customHeight="1">
      <c r="A11" s="196" t="s">
        <v>544</v>
      </c>
      <c r="B11" s="164" t="str">
        <f>DERS_PLANI!N169</f>
        <v>MYO - IHA108	HAVA ARACI SERTİFİKASYONU VE PİLOTAJ-I</v>
      </c>
      <c r="C11" s="164">
        <f>DERS_PLANI!N181</f>
        <v>0</v>
      </c>
      <c r="D11" s="164" t="str">
        <f>DERS_PLANI!N193</f>
        <v>ISE 322 (Teorik) - Sec 1 (Mesut Ünlü)</v>
      </c>
      <c r="E11" s="164" t="str">
        <f>DERS_PLANI!N205</f>
        <v>BM 336 (Teorik) - Sec 1 (Didem Tufan)</v>
      </c>
      <c r="F11" s="164">
        <f>DERS_PLANI!N217</f>
        <v>0</v>
      </c>
    </row>
    <row r="12" spans="1:6" ht="24" customHeight="1">
      <c r="A12" s="196" t="s">
        <v>705</v>
      </c>
      <c r="B12" s="164">
        <f>DERS_PLANI!N170</f>
        <v>0</v>
      </c>
      <c r="C12" s="164">
        <f>DERS_PLANI!N182</f>
        <v>0</v>
      </c>
      <c r="D12" s="164">
        <f>DERS_PLANI!N194</f>
        <v>0</v>
      </c>
      <c r="E12" s="164">
        <f>DERS_PLANI!N206</f>
        <v>0</v>
      </c>
      <c r="F12" s="164">
        <f>DERS_PLANI!N218</f>
        <v>0</v>
      </c>
    </row>
    <row r="13" spans="1:6" ht="24" customHeight="1">
      <c r="A13" s="196" t="s">
        <v>703</v>
      </c>
      <c r="B13" s="164">
        <f>DERS_PLANI!N171</f>
        <v>0</v>
      </c>
      <c r="C13" s="164">
        <f>DERS_PLANI!N183</f>
        <v>0</v>
      </c>
      <c r="D13" s="164">
        <f>DERS_PLANI!N195</f>
        <v>0</v>
      </c>
      <c r="E13" s="164">
        <f>DERS_PLANI!N207</f>
        <v>0</v>
      </c>
      <c r="F13" s="164">
        <f>DERS_PLANI!N219</f>
        <v>0</v>
      </c>
    </row>
    <row r="14" spans="1:6" ht="24" customHeight="1">
      <c r="A14" s="196" t="s">
        <v>704</v>
      </c>
      <c r="B14" s="164">
        <f>DERS_PLANI!N172</f>
        <v>0</v>
      </c>
      <c r="C14" s="164">
        <f>DERS_PLANI!N184</f>
        <v>0</v>
      </c>
      <c r="D14" s="164">
        <f>DERS_PLANI!N196</f>
        <v>0</v>
      </c>
      <c r="E14" s="164">
        <f>DERS_PLANI!N208</f>
        <v>0</v>
      </c>
      <c r="F14" s="164">
        <f>DERS_PLANI!N220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9688-24A2-4ED9-9B6A-BE49FF6DC500}">
  <sheetPr>
    <pageSetUpPr fitToPage="1"/>
  </sheetPr>
  <dimension ref="A1:F14"/>
  <sheetViews>
    <sheetView workbookViewId="0">
      <selection activeCell="D5" sqref="D5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45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DERS_PLANI!M161</f>
        <v>CENG 336 (Teorik) - Sec 1 (Ayhan Akbaş)</v>
      </c>
      <c r="C3" s="164">
        <f>DERS_PLANI!M173</f>
        <v>0</v>
      </c>
      <c r="D3" s="164">
        <f>DERS_PLANI!M185</f>
        <v>0</v>
      </c>
      <c r="E3" s="164">
        <f>DERS_PLANI!M197</f>
        <v>0</v>
      </c>
      <c r="F3" s="164">
        <f>DERS_PLANI!M209</f>
        <v>0</v>
      </c>
    </row>
    <row r="4" spans="1:6" ht="24" customHeight="1">
      <c r="A4" s="196" t="s">
        <v>723</v>
      </c>
      <c r="B4" s="164" t="str">
        <f>DERS_PLANI!M162</f>
        <v>CENG 336 (Teorik) - Sec 1 (Ayhan Akbaş)</v>
      </c>
      <c r="C4" s="164" t="str">
        <f>DERS_PLANI!M174</f>
        <v>EEE 102 (Teorik) - Sec 1 (Yusuf Uzun)</v>
      </c>
      <c r="D4" s="164" t="str">
        <f>DERS_PLANI!M186</f>
        <v>EEE 202 (Teorik) - Sec 1 (Parisa Akar)</v>
      </c>
      <c r="E4" s="164" t="str">
        <f>DERS_PLANI!M198</f>
        <v>MAT 102 (Teorik) - Sec 1(Mesut Altunok)</v>
      </c>
      <c r="F4" s="164" t="str">
        <f>DERS_PLANI!M210</f>
        <v>EEE 202 (Teorik) - Sec 1 (Parisa Akar)</v>
      </c>
    </row>
    <row r="5" spans="1:6" ht="24" customHeight="1">
      <c r="A5" s="196" t="s">
        <v>724</v>
      </c>
      <c r="B5" s="164" t="str">
        <f>DERS_PLANI!M163</f>
        <v>CENG 336 (Teorik) - Sec 1 (Ayhan Akbaş)</v>
      </c>
      <c r="C5" s="164" t="str">
        <f>DERS_PLANI!M175</f>
        <v>EEE 102 (Teorik) - Sec 1 (Yusuf Uzun)</v>
      </c>
      <c r="D5" s="164" t="str">
        <f>DERS_PLANI!M187</f>
        <v>EEE 202 (Teorik) - Sec 1 (Parisa Akar)</v>
      </c>
      <c r="E5" s="164" t="str">
        <f>DERS_PLANI!M199</f>
        <v>MAT 102 (Teorik) - Sec 1(Mesut Altunok)</v>
      </c>
      <c r="F5" s="164" t="str">
        <f>DERS_PLANI!M211</f>
        <v>EEE 202 (Teorik) - Sec 1 (Parisa Akar)</v>
      </c>
    </row>
    <row r="6" spans="1:6" ht="24" customHeight="1">
      <c r="A6" s="196" t="s">
        <v>725</v>
      </c>
      <c r="B6" s="164" t="str">
        <f>DERS_PLANI!M164</f>
        <v>EEE 306 (Teorik) - Sec 1 (Mahmut Mol)</v>
      </c>
      <c r="C6" s="164" t="str">
        <f>DERS_PLANI!M176</f>
        <v>CENG 256 (Teorik) - Sec 1 (Ekrem Çağlar)</v>
      </c>
      <c r="D6" s="164" t="str">
        <f>DERS_PLANI!M188</f>
        <v>CENG 336 (Teorik) - Sec 3(Ayhan Akbaş)</v>
      </c>
      <c r="E6" s="164" t="str">
        <f>DERS_PLANI!M200</f>
        <v>ENG 202 - 12</v>
      </c>
      <c r="F6" s="164">
        <f>DERS_PLANI!M212</f>
        <v>0</v>
      </c>
    </row>
    <row r="7" spans="1:6" ht="24" customHeight="1">
      <c r="A7" s="196" t="s">
        <v>726</v>
      </c>
      <c r="B7" s="164" t="str">
        <f>DERS_PLANI!M165</f>
        <v>EEE 306 (Teorik) - Sec 1 (Mahmut Mol)</v>
      </c>
      <c r="C7" s="164" t="str">
        <f>DERS_PLANI!M177</f>
        <v>CENG 256 (Teorik) - Sec 1 (Ekrem Çağlar)</v>
      </c>
      <c r="D7" s="164" t="str">
        <f>DERS_PLANI!M189</f>
        <v>CENG 336 (Teorik) - Sec 3(Ayhan Akbaş)</v>
      </c>
      <c r="E7" s="164" t="str">
        <f>DERS_PLANI!M201</f>
        <v>ENG 202 - 12</v>
      </c>
      <c r="F7" s="164">
        <f>DERS_PLANI!M213</f>
        <v>0</v>
      </c>
    </row>
    <row r="8" spans="1:6" ht="24" customHeight="1">
      <c r="A8" s="196" t="s">
        <v>530</v>
      </c>
      <c r="B8" s="164" t="str">
        <f>DERS_PLANI!M166</f>
        <v>EEE 306 (Teorik) - Sec 1 (Mahmut Mol)</v>
      </c>
      <c r="C8" s="164" t="str">
        <f>DERS_PLANI!M178</f>
        <v>CENG 256 (Teorik) - Sec 1 (Ekrem Çağlar)</v>
      </c>
      <c r="D8" s="164" t="str">
        <f>DERS_PLANI!M190</f>
        <v>CENG 336 (Teorik) - Sec 3(Ayhan Akbaş)</v>
      </c>
      <c r="E8" s="164">
        <f>DERS_PLANI!M202</f>
        <v>0</v>
      </c>
      <c r="F8" s="164">
        <f>DERS_PLANI!M214</f>
        <v>0</v>
      </c>
    </row>
    <row r="9" spans="1:6" ht="24" customHeight="1">
      <c r="A9" s="196" t="s">
        <v>727</v>
      </c>
      <c r="B9" s="164" t="str">
        <f>DERS_PLANI!M167</f>
        <v>CENG 446 (Teorik) - Sec 1 (Mahmut Nedim Alpdemir)</v>
      </c>
      <c r="C9" s="164" t="str">
        <f>DERS_PLANI!M179</f>
        <v>CENG 214 (Teorik) - Sec 2 (Mesut Ünlü)</v>
      </c>
      <c r="D9" s="164" t="str">
        <f>DERS_PLANI!M191</f>
        <v>CENG 102 (Teorik) - Sec 3 (Hasan Karaaslan)</v>
      </c>
      <c r="E9" s="164" t="str">
        <f>DERS_PLANI!M203</f>
        <v>SENG 324 (Teorik) - Sec 2 (Mahmut Nedim Alpdemir)</v>
      </c>
      <c r="F9" s="164">
        <f>DERS_PLANI!M215</f>
        <v>0</v>
      </c>
    </row>
    <row r="10" spans="1:6" ht="24" customHeight="1">
      <c r="A10" s="196" t="s">
        <v>728</v>
      </c>
      <c r="B10" s="164" t="str">
        <f>DERS_PLANI!M168</f>
        <v>CENG 446 (Teorik) - Sec 1 (Mahmut Nedim Alpdemir)</v>
      </c>
      <c r="C10" s="164" t="str">
        <f>DERS_PLANI!M180</f>
        <v>CENG 214 (Teorik) - Sec 2 (Mesut Ünlü)</v>
      </c>
      <c r="D10" s="164" t="str">
        <f>DERS_PLANI!M192</f>
        <v>CENG 102 (Teorik) - Sec 3 (Hasan Karaaslan)</v>
      </c>
      <c r="E10" s="164" t="str">
        <f>DERS_PLANI!M204</f>
        <v>SENG 324 (Teorik) - Sec 2 (Mahmut Nedim Alpdemir)</v>
      </c>
      <c r="F10" s="164">
        <f>DERS_PLANI!M216</f>
        <v>0</v>
      </c>
    </row>
    <row r="11" spans="1:6" ht="24" customHeight="1">
      <c r="A11" s="196" t="s">
        <v>544</v>
      </c>
      <c r="B11" s="164" t="str">
        <f>DERS_PLANI!M169</f>
        <v>CENG 446 (Teorik) - Sec 1 (Mahmut Nedim Alpdemir)</v>
      </c>
      <c r="C11" s="164" t="str">
        <f>DERS_PLANI!M181</f>
        <v>CENG 214 (Teorik) - Sec 2 (Mesut Ünlü)</v>
      </c>
      <c r="D11" s="164" t="str">
        <f>DERS_PLANI!M193</f>
        <v>CENG 102 (Teorik) - Sec 3 (Hasan Karaaslan)</v>
      </c>
      <c r="E11" s="164" t="str">
        <f>DERS_PLANI!M205</f>
        <v>SENG 324 (Teorik) - Sec 2 (Mahmut Nedim Alpdemir)</v>
      </c>
      <c r="F11" s="164">
        <f>DERS_PLANI!M217</f>
        <v>0</v>
      </c>
    </row>
    <row r="12" spans="1:6" ht="24" customHeight="1">
      <c r="A12" s="196" t="s">
        <v>705</v>
      </c>
      <c r="B12" s="164">
        <f>DERS_PLANI!M170</f>
        <v>0</v>
      </c>
      <c r="C12" s="164">
        <f>DERS_PLANI!M182</f>
        <v>0</v>
      </c>
      <c r="D12" s="164">
        <f>DERS_PLANI!M194</f>
        <v>0</v>
      </c>
      <c r="E12" s="164">
        <f>DERS_PLANI!M206</f>
        <v>0</v>
      </c>
      <c r="F12" s="164">
        <f>DERS_PLANI!M218</f>
        <v>0</v>
      </c>
    </row>
    <row r="13" spans="1:6" ht="24" customHeight="1">
      <c r="A13" s="196" t="s">
        <v>703</v>
      </c>
      <c r="B13" s="164">
        <f>DERS_PLANI!M171</f>
        <v>0</v>
      </c>
      <c r="C13" s="164">
        <f>DERS_PLANI!M183</f>
        <v>0</v>
      </c>
      <c r="D13" s="164">
        <f>DERS_PLANI!M195</f>
        <v>0</v>
      </c>
      <c r="E13" s="164">
        <f>DERS_PLANI!M207</f>
        <v>0</v>
      </c>
      <c r="F13" s="164">
        <f>DERS_PLANI!M219</f>
        <v>0</v>
      </c>
    </row>
    <row r="14" spans="1:6" ht="24" customHeight="1">
      <c r="A14" s="196" t="s">
        <v>704</v>
      </c>
      <c r="B14" s="164">
        <f>DERS_PLANI!M172</f>
        <v>0</v>
      </c>
      <c r="C14" s="164">
        <f>DERS_PLANI!M184</f>
        <v>0</v>
      </c>
      <c r="D14" s="164">
        <f>DERS_PLANI!M196</f>
        <v>0</v>
      </c>
      <c r="E14" s="164">
        <f>DERS_PLANI!M208</f>
        <v>0</v>
      </c>
      <c r="F14" s="164">
        <f>DERS_PLANI!M220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50F0-9D6D-4602-8E6C-FE7A8421BB70}">
  <sheetPr>
    <pageSetUpPr fitToPage="1"/>
  </sheetPr>
  <dimension ref="A1:F14"/>
  <sheetViews>
    <sheetView topLeftCell="A3"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40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5" t="str">
        <f>DERS_PLANI!L161</f>
        <v>IAD 101 (Dr. Merve Şahika Erkan)</v>
      </c>
      <c r="C3" s="66">
        <f>DERS_PLANI!L173</f>
        <v>0</v>
      </c>
      <c r="D3" s="66" t="str">
        <f>DERS_PLANI!L185</f>
        <v>IAD 101 (Dr. Merve Şahika Erkan)</v>
      </c>
      <c r="E3" s="66">
        <f>DERS_PLANI!L197</f>
        <v>0</v>
      </c>
      <c r="F3" s="66" t="str">
        <f>DERS_PLANI!L209</f>
        <v>IAD 103</v>
      </c>
    </row>
    <row r="4" spans="1:6" ht="24" customHeight="1">
      <c r="A4" s="196" t="s">
        <v>723</v>
      </c>
      <c r="B4" s="65" t="str">
        <f>DERS_PLANI!L162</f>
        <v>IAD 101 (Dr. Merve Şahika Erkan)</v>
      </c>
      <c r="C4" s="66">
        <f>DERS_PLANI!L174</f>
        <v>0</v>
      </c>
      <c r="D4" s="66" t="str">
        <f>DERS_PLANI!L186</f>
        <v>IAD 101 (Dr. Merve Şahika Erkan)</v>
      </c>
      <c r="E4" s="66">
        <f>DERS_PLANI!L198</f>
        <v>0</v>
      </c>
      <c r="F4" s="66" t="str">
        <f>DERS_PLANI!L210</f>
        <v>IAD 103</v>
      </c>
    </row>
    <row r="5" spans="1:6" ht="24" customHeight="1">
      <c r="A5" s="196" t="s">
        <v>724</v>
      </c>
      <c r="B5" s="65" t="str">
        <f>DERS_PLANI!L163</f>
        <v>IAD 101 (Dr. Merve Şahika Erkan)</v>
      </c>
      <c r="C5" s="66">
        <f>DERS_PLANI!L175</f>
        <v>0</v>
      </c>
      <c r="D5" s="66" t="str">
        <f>DERS_PLANI!L187</f>
        <v>IAD 101 (Dr. Merve Şahika Erkan)</v>
      </c>
      <c r="E5" s="66">
        <f>DERS_PLANI!L199</f>
        <v>0</v>
      </c>
      <c r="F5" s="66" t="str">
        <f>DERS_PLANI!L211</f>
        <v>IAD 103</v>
      </c>
    </row>
    <row r="6" spans="1:6" ht="24" customHeight="1">
      <c r="A6" s="196" t="s">
        <v>725</v>
      </c>
      <c r="B6" s="65" t="str">
        <f>DERS_PLANI!L164</f>
        <v>IAD 101 (Dr. Merve Şahika Erkan)</v>
      </c>
      <c r="C6" s="66">
        <f>DERS_PLANI!L176</f>
        <v>0</v>
      </c>
      <c r="D6" s="66" t="str">
        <f>DERS_PLANI!L188</f>
        <v>IAD 101 (Dr. Merve Şahika Erkan)</v>
      </c>
      <c r="E6" s="66">
        <f>DERS_PLANI!L200</f>
        <v>0</v>
      </c>
      <c r="F6" s="66" t="str">
        <f>DERS_PLANI!L212</f>
        <v>IAD 103</v>
      </c>
    </row>
    <row r="7" spans="1:6" ht="24" customHeight="1">
      <c r="A7" s="196" t="s">
        <v>726</v>
      </c>
      <c r="B7" s="65" t="str">
        <f>DERS_PLANI!L165</f>
        <v>IAD 302 (Dr. Hüma Tülce Uman)</v>
      </c>
      <c r="C7" s="66">
        <f>DERS_PLANI!L177</f>
        <v>0</v>
      </c>
      <c r="D7" s="66">
        <f>DERS_PLANI!L189</f>
        <v>0</v>
      </c>
      <c r="E7" s="66" t="str">
        <f>DERS_PLANI!L201</f>
        <v>IAD 302 (Dr. Hüma Tülce Uman)</v>
      </c>
      <c r="F7" s="66">
        <f>DERS_PLANI!L213</f>
        <v>0</v>
      </c>
    </row>
    <row r="8" spans="1:6" ht="24" customHeight="1">
      <c r="A8" s="196" t="s">
        <v>530</v>
      </c>
      <c r="B8" s="65" t="str">
        <f>DERS_PLANI!L166</f>
        <v>IAD 302 (Dr. Hüma Tülce Uman)</v>
      </c>
      <c r="C8" s="66">
        <f>DERS_PLANI!L178</f>
        <v>0</v>
      </c>
      <c r="D8" s="66">
        <f>DERS_PLANI!L190</f>
        <v>0</v>
      </c>
      <c r="E8" s="66" t="str">
        <f>DERS_PLANI!L202</f>
        <v>IAD 302 (Dr. Hüma Tülce Uman)</v>
      </c>
      <c r="F8" s="66">
        <f>DERS_PLANI!L214</f>
        <v>0</v>
      </c>
    </row>
    <row r="9" spans="1:6" ht="24" customHeight="1">
      <c r="A9" s="196" t="s">
        <v>727</v>
      </c>
      <c r="B9" s="65" t="str">
        <f>DERS_PLANI!L167</f>
        <v>IAD 302 (Dr. Hüma Tülce Uman)</v>
      </c>
      <c r="C9" s="66">
        <f>DERS_PLANI!L179</f>
        <v>0</v>
      </c>
      <c r="D9" s="66">
        <f>DERS_PLANI!L191</f>
        <v>0</v>
      </c>
      <c r="E9" s="66" t="str">
        <f>DERS_PLANI!L203</f>
        <v>IAD 302 (Dr. Hüma Tülce Uman)</v>
      </c>
      <c r="F9" s="66">
        <f>DERS_PLANI!L215</f>
        <v>0</v>
      </c>
    </row>
    <row r="10" spans="1:6" ht="24" customHeight="1">
      <c r="A10" s="196" t="s">
        <v>728</v>
      </c>
      <c r="B10" s="65" t="str">
        <f>DERS_PLANI!L168</f>
        <v>IAD 302 (Dr. Hüma Tülce Uman)</v>
      </c>
      <c r="C10" s="66">
        <f>DERS_PLANI!L180</f>
        <v>0</v>
      </c>
      <c r="D10" s="66">
        <f>DERS_PLANI!L192</f>
        <v>0</v>
      </c>
      <c r="E10" s="66" t="str">
        <f>DERS_PLANI!L204</f>
        <v>IAD 302 (Dr. Hüma Tülce Uman)</v>
      </c>
      <c r="F10" s="66">
        <f>DERS_PLANI!L216</f>
        <v>0</v>
      </c>
    </row>
    <row r="11" spans="1:6" ht="24" customHeight="1">
      <c r="A11" s="196" t="s">
        <v>544</v>
      </c>
      <c r="B11" s="65">
        <f>DERS_PLANI!L169</f>
        <v>0</v>
      </c>
      <c r="C11" s="66">
        <f>DERS_PLANI!L181</f>
        <v>0</v>
      </c>
      <c r="D11" s="66">
        <f>DERS_PLANI!L193</f>
        <v>0</v>
      </c>
      <c r="E11" s="66">
        <f>DERS_PLANI!L205</f>
        <v>0</v>
      </c>
      <c r="F11" s="66">
        <f>DERS_PLANI!L217</f>
        <v>0</v>
      </c>
    </row>
    <row r="12" spans="1:6" ht="24" customHeight="1">
      <c r="A12" s="196" t="s">
        <v>705</v>
      </c>
      <c r="B12" s="65">
        <f>DERS_PLANI!L170</f>
        <v>0</v>
      </c>
      <c r="C12" s="66">
        <f>DERS_PLANI!L182</f>
        <v>0</v>
      </c>
      <c r="D12" s="66">
        <f>DERS_PLANI!L194</f>
        <v>0</v>
      </c>
      <c r="E12" s="66">
        <f>DERS_PLANI!L206</f>
        <v>0</v>
      </c>
      <c r="F12" s="66">
        <f>DERS_PLANI!L218</f>
        <v>0</v>
      </c>
    </row>
    <row r="13" spans="1:6" ht="24" customHeight="1">
      <c r="A13" s="196" t="s">
        <v>703</v>
      </c>
      <c r="B13" s="65">
        <f>DERS_PLANI!L171</f>
        <v>0</v>
      </c>
      <c r="C13" s="66">
        <f>DERS_PLANI!L183</f>
        <v>0</v>
      </c>
      <c r="D13" s="66">
        <f>DERS_PLANI!L195</f>
        <v>0</v>
      </c>
      <c r="E13" s="66">
        <f>DERS_PLANI!L207</f>
        <v>0</v>
      </c>
      <c r="F13" s="66">
        <f>DERS_PLANI!L219</f>
        <v>0</v>
      </c>
    </row>
    <row r="14" spans="1:6" ht="24" customHeight="1">
      <c r="A14" s="196" t="s">
        <v>704</v>
      </c>
      <c r="B14" s="65">
        <f>DERS_PLANI!L172</f>
        <v>0</v>
      </c>
      <c r="C14" s="66">
        <f>DERS_PLANI!L184</f>
        <v>0</v>
      </c>
      <c r="D14" s="66">
        <f>DERS_PLANI!L196</f>
        <v>0</v>
      </c>
      <c r="E14" s="66">
        <f>DERS_PLANI!L208</f>
        <v>0</v>
      </c>
      <c r="F14" s="66">
        <f>DERS_PLANI!L220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2DBB-336D-4439-8693-2F5AA4462DD0}">
  <sheetPr>
    <pageSetUpPr fitToPage="1"/>
  </sheetPr>
  <dimension ref="A1:F14"/>
  <sheetViews>
    <sheetView workbookViewId="0">
      <selection activeCell="D7" sqref="D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36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 t="str">
        <f>DERS_PLANI!K161</f>
        <v>ENG 102 - 05 - GSTF</v>
      </c>
      <c r="C3" s="66" t="str">
        <f>DERS_PLANI!K173</f>
        <v>IAD 222 (Dr. Hüma Tülce Uman)</v>
      </c>
      <c r="D3" s="66" t="str">
        <f>DERS_PLANI!K185</f>
        <v>ENG 302 - 06 - GSTF</v>
      </c>
      <c r="E3" s="66" t="str">
        <f>DERS_PLANI!K197</f>
        <v>CMM 189 Space Design in Cinema</v>
      </c>
      <c r="F3" s="67">
        <f>DERS_PLANI!K209</f>
        <v>0</v>
      </c>
    </row>
    <row r="4" spans="1:6" ht="24" customHeight="1">
      <c r="A4" s="196" t="s">
        <v>723</v>
      </c>
      <c r="B4" s="66" t="str">
        <f>DERS_PLANI!K162</f>
        <v>ENG 102 - 05 - GSTF</v>
      </c>
      <c r="C4" s="66" t="str">
        <f>DERS_PLANI!K174</f>
        <v>IAD 222 (Dr. Hüma Tülce Uman)</v>
      </c>
      <c r="D4" s="66" t="str">
        <f>DERS_PLANI!K186</f>
        <v>ENG 302 - 06 - GSTF</v>
      </c>
      <c r="E4" s="66" t="str">
        <f>DERS_PLANI!K198</f>
        <v>CMM 189 Space Design in Cinema</v>
      </c>
      <c r="F4" s="67">
        <f>DERS_PLANI!K210</f>
        <v>0</v>
      </c>
    </row>
    <row r="5" spans="1:6" ht="24" customHeight="1">
      <c r="A5" s="196" t="s">
        <v>724</v>
      </c>
      <c r="B5" s="66" t="str">
        <f>DERS_PLANI!K163</f>
        <v>ENG 102 - 06 - GSTF</v>
      </c>
      <c r="C5" s="66" t="str">
        <f>DERS_PLANI!K175</f>
        <v>IAD 222 (Dr. Hüma Tülce Uman)</v>
      </c>
      <c r="D5" s="66">
        <f>DERS_PLANI!K187</f>
        <v>0</v>
      </c>
      <c r="E5" s="66" t="str">
        <f>DERS_PLANI!K199</f>
        <v>CMM 189 Space Design in Cinema</v>
      </c>
      <c r="F5" s="67">
        <f>DERS_PLANI!K211</f>
        <v>0</v>
      </c>
    </row>
    <row r="6" spans="1:6" ht="24" customHeight="1">
      <c r="A6" s="196" t="s">
        <v>725</v>
      </c>
      <c r="B6" s="66" t="str">
        <f>DERS_PLANI!K164</f>
        <v>ENG 102 - 06 - GSTF</v>
      </c>
      <c r="C6" s="66">
        <f>DERS_PLANI!K176</f>
        <v>0</v>
      </c>
      <c r="D6" s="66">
        <f>DERS_PLANI!K188</f>
        <v>0</v>
      </c>
      <c r="E6" s="66">
        <f>DERS_PLANI!K200</f>
        <v>0</v>
      </c>
      <c r="F6" s="67">
        <f>DERS_PLANI!K212</f>
        <v>0</v>
      </c>
    </row>
    <row r="7" spans="1:6" ht="24" customHeight="1">
      <c r="A7" s="196" t="s">
        <v>726</v>
      </c>
      <c r="B7" s="66" t="str">
        <f>DERS_PLANI!K165</f>
        <v>IAD 102 (Prof. Dr. Özlem Erdoğdu Erkaslan)</v>
      </c>
      <c r="C7" s="66" t="str">
        <f>DERS_PLANI!K177</f>
        <v>IAD 202 (Doç. Dr. Ece Kumkale Açıkgöz)</v>
      </c>
      <c r="D7" s="66">
        <f>DERS_PLANI!K189</f>
        <v>0</v>
      </c>
      <c r="E7" s="66" t="str">
        <f>DERS_PLANI!K201</f>
        <v>IAD 102 (Prof. Dr. Özlem Erdoğdu Erkaslan)</v>
      </c>
      <c r="F7" s="67" t="str">
        <f>DERS_PLANI!K213</f>
        <v>IAD 202 (Doç. Dr. Ece Kumkale Açıkgöz)</v>
      </c>
    </row>
    <row r="8" spans="1:6" ht="24" customHeight="1">
      <c r="A8" s="196" t="s">
        <v>530</v>
      </c>
      <c r="B8" s="66" t="str">
        <f>DERS_PLANI!K166</f>
        <v>IAD 102 (Prof. Dr. Özlem Erdoğdu Erkaslan)</v>
      </c>
      <c r="C8" s="66" t="str">
        <f>DERS_PLANI!K178</f>
        <v>IAD 202 (Doç. Dr. Ece Kumkale Açıkgöz)</v>
      </c>
      <c r="D8" s="66">
        <f>DERS_PLANI!K190</f>
        <v>0</v>
      </c>
      <c r="E8" s="66" t="str">
        <f>DERS_PLANI!K202</f>
        <v>IAD 102 (Prof. Dr. Özlem Erdoğdu Erkaslan)</v>
      </c>
      <c r="F8" s="67" t="str">
        <f>DERS_PLANI!K214</f>
        <v>IAD 202 (Doç. Dr. Ece Kumkale Açıkgöz)</v>
      </c>
    </row>
    <row r="9" spans="1:6" ht="24" customHeight="1">
      <c r="A9" s="196" t="s">
        <v>727</v>
      </c>
      <c r="B9" s="66" t="str">
        <f>DERS_PLANI!K167</f>
        <v>IAD 102 (Prof. Dr. Özlem Erdoğdu Erkaslan)</v>
      </c>
      <c r="C9" s="66" t="str">
        <f>DERS_PLANI!K179</f>
        <v>IAD 202 (Doç. Dr. Ece Kumkale Açıkgöz)</v>
      </c>
      <c r="D9" s="66" t="str">
        <f>DERS_PLANI!K191</f>
        <v xml:space="preserve">ENG 202 - 012- GSTF </v>
      </c>
      <c r="E9" s="66" t="str">
        <f>DERS_PLANI!K203</f>
        <v>IAD 102 (Prof. Dr. Özlem Erdoğdu Erkaslan)</v>
      </c>
      <c r="F9" s="67" t="str">
        <f>DERS_PLANI!K215</f>
        <v>IAD 202 (Doç. Dr. Ece Kumkale Açıkgöz)</v>
      </c>
    </row>
    <row r="10" spans="1:6" ht="24" customHeight="1">
      <c r="A10" s="196" t="s">
        <v>728</v>
      </c>
      <c r="B10" s="66" t="str">
        <f>DERS_PLANI!K168</f>
        <v>IAD 102 (Prof. Dr. Özlem Erdoğdu Erkaslan)</v>
      </c>
      <c r="C10" s="66" t="str">
        <f>DERS_PLANI!K180</f>
        <v>IAD 202 (Doç. Dr. Ece Kumkale Açıkgöz)</v>
      </c>
      <c r="D10" s="66" t="str">
        <f>DERS_PLANI!K192</f>
        <v xml:space="preserve">ENG 202 - 012 - GSTF </v>
      </c>
      <c r="E10" s="66" t="str">
        <f>DERS_PLANI!K204</f>
        <v>IAD 102 (Prof. Dr. Özlem Erdoğdu Erkaslan)</v>
      </c>
      <c r="F10" s="67" t="str">
        <f>DERS_PLANI!K216</f>
        <v>IAD 202 (Doç. Dr. Ece Kumkale Açıkgöz)</v>
      </c>
    </row>
    <row r="11" spans="1:6" ht="24" customHeight="1">
      <c r="A11" s="196" t="s">
        <v>544</v>
      </c>
      <c r="B11" s="66">
        <f>DERS_PLANI!K169</f>
        <v>0</v>
      </c>
      <c r="C11" s="66">
        <f>DERS_PLANI!K181</f>
        <v>0</v>
      </c>
      <c r="D11" s="66">
        <f>DERS_PLANI!K193</f>
        <v>0</v>
      </c>
      <c r="E11" s="66">
        <f>DERS_PLANI!K205</f>
        <v>0</v>
      </c>
      <c r="F11" s="67">
        <f>DERS_PLANI!K217</f>
        <v>0</v>
      </c>
    </row>
    <row r="12" spans="1:6" ht="24" customHeight="1">
      <c r="A12" s="196" t="s">
        <v>705</v>
      </c>
      <c r="B12" s="66">
        <f>DERS_PLANI!K170</f>
        <v>0</v>
      </c>
      <c r="C12" s="66">
        <f>DERS_PLANI!K182</f>
        <v>0</v>
      </c>
      <c r="D12" s="66">
        <f>DERS_PLANI!K194</f>
        <v>0</v>
      </c>
      <c r="E12" s="66">
        <f>DERS_PLANI!K206</f>
        <v>0</v>
      </c>
      <c r="F12" s="67">
        <f>DERS_PLANI!K218</f>
        <v>0</v>
      </c>
    </row>
    <row r="13" spans="1:6" ht="24" customHeight="1">
      <c r="A13" s="196" t="s">
        <v>703</v>
      </c>
      <c r="B13" s="66">
        <f>DERS_PLANI!K171</f>
        <v>0</v>
      </c>
      <c r="C13" s="66">
        <f>DERS_PLANI!K183</f>
        <v>0</v>
      </c>
      <c r="D13" s="66">
        <f>DERS_PLANI!K195</f>
        <v>0</v>
      </c>
      <c r="E13" s="66">
        <f>DERS_PLANI!K207</f>
        <v>0</v>
      </c>
      <c r="F13" s="67">
        <f>DERS_PLANI!K219</f>
        <v>0</v>
      </c>
    </row>
    <row r="14" spans="1:6" ht="24" customHeight="1">
      <c r="A14" s="196" t="s">
        <v>704</v>
      </c>
      <c r="B14" s="66">
        <f>DERS_PLANI!K172</f>
        <v>0</v>
      </c>
      <c r="C14" s="66">
        <f>DERS_PLANI!K184</f>
        <v>0</v>
      </c>
      <c r="D14" s="66">
        <f>DERS_PLANI!K196</f>
        <v>0</v>
      </c>
      <c r="E14" s="66">
        <f>DERS_PLANI!K208</f>
        <v>0</v>
      </c>
      <c r="F14" s="67">
        <f>DERS_PLANI!K220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1A04-5EA3-40A5-93D3-4319A150DFA4}">
  <sheetPr>
    <pageSetUpPr fitToPage="1"/>
  </sheetPr>
  <dimension ref="A1:F14"/>
  <sheetViews>
    <sheetView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4" t="s">
        <v>28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DERS_PLANI!I161</f>
        <v>0</v>
      </c>
      <c r="C3" s="66">
        <f>DERS_PLANI!I173</f>
        <v>0</v>
      </c>
      <c r="D3" s="66">
        <f>DERS_PLANI!I185</f>
        <v>0</v>
      </c>
      <c r="E3" s="66" t="str">
        <f>DERS_PLANI!I197</f>
        <v>FAD 446 (Dr. Merve Şahika Erkan - Dr. Çiğdem Özkan Sev)</v>
      </c>
      <c r="F3" s="67" t="str">
        <f>DERS_PLANI!I209</f>
        <v xml:space="preserve">NMC 208 </v>
      </c>
    </row>
    <row r="4" spans="1:6" ht="24" customHeight="1">
      <c r="A4" s="196" t="s">
        <v>723</v>
      </c>
      <c r="B4" s="66" t="str">
        <f>DERS_PLANI!I162</f>
        <v>FAD 481 (Prof. Dr. Özlem Erdoğdu Erkaslan)</v>
      </c>
      <c r="C4" s="66">
        <f>DERS_PLANI!I174</f>
        <v>0</v>
      </c>
      <c r="D4" s="66">
        <f>DERS_PLANI!I186</f>
        <v>0</v>
      </c>
      <c r="E4" s="66" t="str">
        <f>DERS_PLANI!I198</f>
        <v>FAD 446 (Dr. Merve Şahika Erkan - Dr. Çiğdem Özkan Sev)</v>
      </c>
      <c r="F4" s="67" t="str">
        <f>DERS_PLANI!I210</f>
        <v xml:space="preserve">NMC 208 </v>
      </c>
    </row>
    <row r="5" spans="1:6" ht="24" customHeight="1">
      <c r="A5" s="196" t="s">
        <v>724</v>
      </c>
      <c r="B5" s="66" t="str">
        <f>DERS_PLANI!I163</f>
        <v>FAD 481 (Prof. Dr. Özlem Erdoğdu Erkaslan)</v>
      </c>
      <c r="C5" s="66" t="str">
        <f>DERS_PLANI!I175</f>
        <v xml:space="preserve">NMC 404 </v>
      </c>
      <c r="D5" s="66">
        <f>DERS_PLANI!I187</f>
        <v>0</v>
      </c>
      <c r="E5" s="66" t="str">
        <f>DERS_PLANI!I199</f>
        <v>FAD 446 (Dr. Merve Şahika Erkan - Dr. Çiğdem Özkan Sev)</v>
      </c>
      <c r="F5" s="67" t="str">
        <f>DERS_PLANI!I211</f>
        <v xml:space="preserve">NMC 208 </v>
      </c>
    </row>
    <row r="6" spans="1:6" ht="24" customHeight="1">
      <c r="A6" s="196" t="s">
        <v>725</v>
      </c>
      <c r="B6" s="66" t="str">
        <f>DERS_PLANI!I164</f>
        <v>FAD 481 (Prof. Dr. Özlem Erdoğdu Erkaslan)</v>
      </c>
      <c r="C6" s="66" t="str">
        <f>DERS_PLANI!I176</f>
        <v xml:space="preserve">NMC 404 </v>
      </c>
      <c r="D6" s="66">
        <f>DERS_PLANI!I188</f>
        <v>0</v>
      </c>
      <c r="E6" s="66">
        <f>DERS_PLANI!I200</f>
        <v>0</v>
      </c>
      <c r="F6" s="67">
        <f>DERS_PLANI!I212</f>
        <v>0</v>
      </c>
    </row>
    <row r="7" spans="1:6" ht="24" customHeight="1">
      <c r="A7" s="196" t="s">
        <v>726</v>
      </c>
      <c r="B7" s="66" t="str">
        <f>DERS_PLANI!I165</f>
        <v>IAD 402 (Dr. Merve Şahika Erkan)</v>
      </c>
      <c r="C7" s="66" t="str">
        <f>DERS_PLANI!I177</f>
        <v>NMC 404</v>
      </c>
      <c r="D7" s="66">
        <f>DERS_PLANI!I189</f>
        <v>0</v>
      </c>
      <c r="E7" s="66" t="str">
        <f>DERS_PLANI!I201</f>
        <v xml:space="preserve">ENG 102 - 12 - GSTF </v>
      </c>
      <c r="F7" s="67">
        <f>DERS_PLANI!I213</f>
        <v>0</v>
      </c>
    </row>
    <row r="8" spans="1:6" ht="24" customHeight="1">
      <c r="A8" s="196" t="s">
        <v>530</v>
      </c>
      <c r="B8" s="66" t="str">
        <f>DERS_PLANI!I166</f>
        <v>IAD 402 (Dr. Merve Şahika Erkan)</v>
      </c>
      <c r="C8" s="66">
        <f>DERS_PLANI!I178</f>
        <v>0</v>
      </c>
      <c r="D8" s="66">
        <f>DERS_PLANI!I190</f>
        <v>0</v>
      </c>
      <c r="E8" s="66" t="str">
        <f>DERS_PLANI!I202</f>
        <v xml:space="preserve">ENG 102 - 12 - GSTF </v>
      </c>
      <c r="F8" s="67">
        <f>DERS_PLANI!I214</f>
        <v>0</v>
      </c>
    </row>
    <row r="9" spans="1:6" ht="24" customHeight="1">
      <c r="A9" s="196" t="s">
        <v>727</v>
      </c>
      <c r="B9" s="66">
        <f>DERS_PLANI!I167</f>
        <v>0</v>
      </c>
      <c r="C9" s="66">
        <f>DERS_PLANI!I179</f>
        <v>0</v>
      </c>
      <c r="D9" s="66">
        <f>DERS_PLANI!I191</f>
        <v>0</v>
      </c>
      <c r="E9" s="66">
        <f>DERS_PLANI!I203</f>
        <v>0</v>
      </c>
      <c r="F9" s="67">
        <f>DERS_PLANI!I215</f>
        <v>0</v>
      </c>
    </row>
    <row r="10" spans="1:6" ht="24" customHeight="1">
      <c r="A10" s="196" t="s">
        <v>728</v>
      </c>
      <c r="B10" s="66">
        <f>DERS_PLANI!I168</f>
        <v>0</v>
      </c>
      <c r="C10" s="66">
        <f>DERS_PLANI!I180</f>
        <v>0</v>
      </c>
      <c r="D10" s="66">
        <f>DERS_PLANI!I192</f>
        <v>0</v>
      </c>
      <c r="E10" s="66">
        <f>DERS_PLANI!I204</f>
        <v>0</v>
      </c>
      <c r="F10" s="67">
        <f>DERS_PLANI!I216</f>
        <v>0</v>
      </c>
    </row>
    <row r="11" spans="1:6" ht="24" customHeight="1">
      <c r="A11" s="196" t="s">
        <v>544</v>
      </c>
      <c r="B11" s="66">
        <f>DERS_PLANI!I169</f>
        <v>0</v>
      </c>
      <c r="C11" s="66">
        <f>DERS_PLANI!I181</f>
        <v>0</v>
      </c>
      <c r="D11" s="66">
        <f>DERS_PLANI!I193</f>
        <v>0</v>
      </c>
      <c r="E11" s="66">
        <f>DERS_PLANI!I205</f>
        <v>0</v>
      </c>
      <c r="F11" s="67">
        <f>DERS_PLANI!I217</f>
        <v>0</v>
      </c>
    </row>
    <row r="12" spans="1:6" ht="24" customHeight="1">
      <c r="A12" s="196" t="s">
        <v>705</v>
      </c>
      <c r="B12" s="66">
        <f>DERS_PLANI!I170</f>
        <v>0</v>
      </c>
      <c r="C12" s="66">
        <f>DERS_PLANI!I182</f>
        <v>0</v>
      </c>
      <c r="D12" s="66">
        <f>DERS_PLANI!I194</f>
        <v>0</v>
      </c>
      <c r="E12" s="66">
        <f>DERS_PLANI!I206</f>
        <v>0</v>
      </c>
      <c r="F12" s="67">
        <f>DERS_PLANI!I218</f>
        <v>0</v>
      </c>
    </row>
    <row r="13" spans="1:6" ht="24" customHeight="1">
      <c r="A13" s="196" t="s">
        <v>703</v>
      </c>
      <c r="B13" s="66">
        <f>DERS_PLANI!I171</f>
        <v>0</v>
      </c>
      <c r="C13" s="66">
        <f>DERS_PLANI!I183</f>
        <v>0</v>
      </c>
      <c r="D13" s="66">
        <f>DERS_PLANI!I195</f>
        <v>0</v>
      </c>
      <c r="E13" s="66">
        <f>DERS_PLANI!I207</f>
        <v>0</v>
      </c>
      <c r="F13" s="67">
        <f>DERS_PLANI!I219</f>
        <v>0</v>
      </c>
    </row>
    <row r="14" spans="1:6" ht="24" customHeight="1">
      <c r="A14" s="196" t="s">
        <v>704</v>
      </c>
      <c r="B14" s="66">
        <f>DERS_PLANI!I172</f>
        <v>0</v>
      </c>
      <c r="C14" s="66">
        <f>DERS_PLANI!I184</f>
        <v>0</v>
      </c>
      <c r="D14" s="66">
        <f>DERS_PLANI!I196</f>
        <v>0</v>
      </c>
      <c r="E14" s="66">
        <f>DERS_PLANI!I208</f>
        <v>0</v>
      </c>
      <c r="F14" s="67">
        <f>DERS_PLANI!I220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38C2-A27C-45A8-A8EA-A6A8AB96FE2D}">
  <sheetPr>
    <pageSetUpPr fitToPage="1"/>
  </sheetPr>
  <dimension ref="A1:F14"/>
  <sheetViews>
    <sheetView workbookViewId="0">
      <selection activeCell="D9" sqref="D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54" t="s">
        <v>32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DERS_PLANI!J161</f>
        <v>0</v>
      </c>
      <c r="C3" s="66">
        <f>DERS_PLANI!J173</f>
        <v>0</v>
      </c>
      <c r="D3" s="66">
        <f>DERS_PLANI!J185</f>
        <v>0</v>
      </c>
      <c r="E3" s="66" t="str">
        <f>DERS_PLANI!J197</f>
        <v>ETI 304
(Dr. Saki Demirel)</v>
      </c>
      <c r="F3" s="67" t="str">
        <f>DERS_PLANI!J209</f>
        <v>ETI 304 Telafi Dersi
(Dr. Saki Demirel)</v>
      </c>
    </row>
    <row r="4" spans="1:6" ht="24" customHeight="1">
      <c r="A4" s="196" t="s">
        <v>723</v>
      </c>
      <c r="B4" s="66">
        <f>DERS_PLANI!J162</f>
        <v>0</v>
      </c>
      <c r="C4" s="66">
        <f>DERS_PLANI!J174</f>
        <v>0</v>
      </c>
      <c r="D4" s="66">
        <f>DERS_PLANI!J186</f>
        <v>0</v>
      </c>
      <c r="E4" s="66" t="str">
        <f>DERS_PLANI!J198</f>
        <v>ETI 304
(Dr. Saki Demirel)</v>
      </c>
      <c r="F4" s="67" t="str">
        <f>DERS_PLANI!J210</f>
        <v>ETI 304 Telafi Dersi
(Dr. Saki Demirel)</v>
      </c>
    </row>
    <row r="5" spans="1:6" ht="24" customHeight="1">
      <c r="A5" s="196" t="s">
        <v>724</v>
      </c>
      <c r="B5" s="66">
        <f>DERS_PLANI!J163</f>
        <v>0</v>
      </c>
      <c r="C5" s="66">
        <f>DERS_PLANI!J175</f>
        <v>0</v>
      </c>
      <c r="D5" s="66">
        <f>DERS_PLANI!J187</f>
        <v>0</v>
      </c>
      <c r="E5" s="66" t="str">
        <f>DERS_PLANI!J199</f>
        <v>ETI 304
(Dr. Saki Demirel)</v>
      </c>
      <c r="F5" s="67" t="str">
        <f>DERS_PLANI!J211</f>
        <v>ETI 304 Telafi Dersi
(Dr. Saki Demirel)</v>
      </c>
    </row>
    <row r="6" spans="1:6" ht="24" customHeight="1">
      <c r="A6" s="196" t="s">
        <v>725</v>
      </c>
      <c r="B6" s="66">
        <f>DERS_PLANI!J164</f>
        <v>0</v>
      </c>
      <c r="C6" s="66" t="str">
        <f>DERS_PLANI!J176</f>
        <v>MIS 260
(Assoc. Prof. Erdoğan)</v>
      </c>
      <c r="D6" s="66">
        <f>DERS_PLANI!J188</f>
        <v>0</v>
      </c>
      <c r="E6" s="66" t="str">
        <f>DERS_PLANI!J200</f>
        <v>ETI 316</v>
      </c>
      <c r="F6" s="67" t="str">
        <f>DERS_PLANI!J212</f>
        <v>ETI 316 Telafi Dersi
(Dr. Saki Demirel)</v>
      </c>
    </row>
    <row r="7" spans="1:6" ht="24" customHeight="1">
      <c r="A7" s="196" t="s">
        <v>726</v>
      </c>
      <c r="B7" s="66">
        <f>DERS_PLANI!J165</f>
        <v>0</v>
      </c>
      <c r="C7" s="66" t="str">
        <f>DERS_PLANI!J177</f>
        <v>MIS 260
(Assoc. Prof. Erdoğan)</v>
      </c>
      <c r="D7" s="66">
        <f>DERS_PLANI!J189</f>
        <v>0</v>
      </c>
      <c r="E7" s="66" t="str">
        <f>DERS_PLANI!J201</f>
        <v>ETI 316</v>
      </c>
      <c r="F7" s="67" t="str">
        <f>DERS_PLANI!J213</f>
        <v>ETI 316 Telafi Dersi
(Dr. Saki Demirel)</v>
      </c>
    </row>
    <row r="8" spans="1:6" ht="24" customHeight="1">
      <c r="A8" s="196" t="s">
        <v>530</v>
      </c>
      <c r="B8" s="66">
        <f>DERS_PLANI!J166</f>
        <v>0</v>
      </c>
      <c r="C8" s="66" t="str">
        <f>DERS_PLANI!J178</f>
        <v>MIS 260
(Assoc. Prof. Erdoğan)</v>
      </c>
      <c r="D8" s="66">
        <f>DERS_PLANI!J190</f>
        <v>0</v>
      </c>
      <c r="E8" s="66" t="str">
        <f>DERS_PLANI!J202</f>
        <v>MIS 142
(Assoc. Prof. Erdoğan)</v>
      </c>
      <c r="F8" s="67" t="str">
        <f>DERS_PLANI!J214</f>
        <v>ETI 316 Telafi Dersi
(Dr. Saki Demirel)</v>
      </c>
    </row>
    <row r="9" spans="1:6" ht="24" customHeight="1">
      <c r="A9" s="196" t="s">
        <v>727</v>
      </c>
      <c r="B9" s="66">
        <f>DERS_PLANI!J167</f>
        <v>0</v>
      </c>
      <c r="C9" s="66">
        <f>DERS_PLANI!J179</f>
        <v>0</v>
      </c>
      <c r="D9" s="66">
        <f>DERS_PLANI!J191</f>
        <v>0</v>
      </c>
      <c r="E9" s="66" t="str">
        <f>DERS_PLANI!J203</f>
        <v>MIS 142
(Assoc. Prof. Erdoğan)</v>
      </c>
      <c r="F9" s="67" t="str">
        <f>DERS_PLANI!J215</f>
        <v>ETI 212 Telafi Dersi
(Dr. Saki Demirel)</v>
      </c>
    </row>
    <row r="10" spans="1:6" ht="24" customHeight="1">
      <c r="A10" s="196" t="s">
        <v>728</v>
      </c>
      <c r="B10" s="66">
        <f>DERS_PLANI!J168</f>
        <v>0</v>
      </c>
      <c r="C10" s="66">
        <f>DERS_PLANI!J180</f>
        <v>0</v>
      </c>
      <c r="D10" s="66">
        <f>DERS_PLANI!J192</f>
        <v>0</v>
      </c>
      <c r="E10" s="66">
        <f>DERS_PLANI!J204</f>
        <v>0</v>
      </c>
      <c r="F10" s="67" t="str">
        <f>DERS_PLANI!J216</f>
        <v>ETI 212 Telafi Dersi
(Dr. Saki Demirel)</v>
      </c>
    </row>
    <row r="11" spans="1:6" ht="24" customHeight="1">
      <c r="A11" s="196" t="s">
        <v>544</v>
      </c>
      <c r="B11" s="66">
        <f>DERS_PLANI!J169</f>
        <v>0</v>
      </c>
      <c r="C11" s="66">
        <f>DERS_PLANI!J181</f>
        <v>0</v>
      </c>
      <c r="D11" s="66">
        <f>DERS_PLANI!J193</f>
        <v>0</v>
      </c>
      <c r="E11" s="66">
        <f>DERS_PLANI!J205</f>
        <v>0</v>
      </c>
      <c r="F11" s="67" t="str">
        <f>DERS_PLANI!J217</f>
        <v>ETI 212 Telafi Dersi
(Dr. Saki Demirel)</v>
      </c>
    </row>
    <row r="12" spans="1:6" ht="24" customHeight="1">
      <c r="A12" s="196" t="s">
        <v>705</v>
      </c>
      <c r="B12" s="66">
        <f>DERS_PLANI!J170</f>
        <v>0</v>
      </c>
      <c r="C12" s="66">
        <f>DERS_PLANI!J182</f>
        <v>0</v>
      </c>
      <c r="D12" s="66">
        <f>DERS_PLANI!J194</f>
        <v>0</v>
      </c>
      <c r="E12" s="66">
        <f>DERS_PLANI!J206</f>
        <v>0</v>
      </c>
      <c r="F12" s="67">
        <f>DERS_PLANI!J218</f>
        <v>0</v>
      </c>
    </row>
    <row r="13" spans="1:6" ht="24" customHeight="1">
      <c r="A13" s="196" t="s">
        <v>703</v>
      </c>
      <c r="B13" s="66">
        <f>DERS_PLANI!J171</f>
        <v>0</v>
      </c>
      <c r="C13" s="66">
        <f>DERS_PLANI!J183</f>
        <v>0</v>
      </c>
      <c r="D13" s="66">
        <f>DERS_PLANI!J195</f>
        <v>0</v>
      </c>
      <c r="E13" s="66">
        <f>DERS_PLANI!J207</f>
        <v>0</v>
      </c>
      <c r="F13" s="67">
        <f>DERS_PLANI!J219</f>
        <v>0</v>
      </c>
    </row>
    <row r="14" spans="1:6" ht="24" customHeight="1">
      <c r="A14" s="196" t="s">
        <v>704</v>
      </c>
      <c r="B14" s="66">
        <f>DERS_PLANI!J172</f>
        <v>0</v>
      </c>
      <c r="C14" s="66">
        <f>DERS_PLANI!J184</f>
        <v>0</v>
      </c>
      <c r="D14" s="66">
        <f>DERS_PLANI!J196</f>
        <v>0</v>
      </c>
      <c r="E14" s="66">
        <f>DERS_PLANI!J208</f>
        <v>0</v>
      </c>
      <c r="F14" s="67">
        <f>DERS_PLANI!J220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9C04-8C8C-4B56-A307-D1C500AB3AF3}">
  <sheetPr>
    <pageSetUpPr fitToPage="1"/>
  </sheetPr>
  <dimension ref="A1:F14"/>
  <sheetViews>
    <sheetView workbookViewId="0">
      <selection activeCell="F3" sqref="F3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733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DERS_PLANI!H161</f>
        <v>0</v>
      </c>
      <c r="C3" s="66">
        <f>DERS_PLANI!H173</f>
        <v>0</v>
      </c>
      <c r="D3" s="66">
        <f>DERS_PLANI!H185</f>
        <v>0</v>
      </c>
      <c r="E3" s="66">
        <f>DERS_PLANI!H197</f>
        <v>0</v>
      </c>
      <c r="F3" s="67">
        <f>DERS_PLANI!H209</f>
        <v>0</v>
      </c>
    </row>
    <row r="4" spans="1:6" ht="24" customHeight="1">
      <c r="A4" s="196" t="s">
        <v>723</v>
      </c>
      <c r="B4" s="66">
        <f>DERS_PLANI!H162</f>
        <v>0</v>
      </c>
      <c r="C4" s="66">
        <f>DERS_PLANI!H174</f>
        <v>0</v>
      </c>
      <c r="D4" s="66" t="str">
        <f>DERS_PLANI!H186</f>
        <v>ENG 102 - 10 (MMF)</v>
      </c>
      <c r="E4" s="66">
        <f>DERS_PLANI!H198</f>
        <v>0</v>
      </c>
      <c r="F4" s="67">
        <f>DERS_PLANI!H210</f>
        <v>0</v>
      </c>
    </row>
    <row r="5" spans="1:6" ht="24" customHeight="1">
      <c r="A5" s="196" t="s">
        <v>724</v>
      </c>
      <c r="B5" s="66">
        <f>DERS_PLANI!H163</f>
        <v>0</v>
      </c>
      <c r="C5" s="66">
        <f>DERS_PLANI!H175</f>
        <v>0</v>
      </c>
      <c r="D5" s="66" t="str">
        <f>DERS_PLANI!H187</f>
        <v>ENG 102 - 10 (MMF)</v>
      </c>
      <c r="E5" s="66">
        <f>DERS_PLANI!H199</f>
        <v>0</v>
      </c>
      <c r="F5" s="67">
        <f>DERS_PLANI!H211</f>
        <v>0</v>
      </c>
    </row>
    <row r="6" spans="1:6" ht="24" customHeight="1">
      <c r="A6" s="196" t="s">
        <v>725</v>
      </c>
      <c r="B6" s="66" t="str">
        <f>DERS_PLANI!H164</f>
        <v>ENG 102 - 07 (MMF)</v>
      </c>
      <c r="C6" s="66">
        <f>DERS_PLANI!H176</f>
        <v>0</v>
      </c>
      <c r="D6" s="66" t="str">
        <f>DERS_PLANI!H188</f>
        <v xml:space="preserve">ENG 202 - 03 (SIYASET BILIMI) </v>
      </c>
      <c r="E6" s="66">
        <f>DERS_PLANI!H200</f>
        <v>0</v>
      </c>
      <c r="F6" s="67">
        <f>DERS_PLANI!H212</f>
        <v>0</v>
      </c>
    </row>
    <row r="7" spans="1:6" ht="24" customHeight="1">
      <c r="A7" s="196" t="s">
        <v>726</v>
      </c>
      <c r="B7" s="66" t="str">
        <f>DERS_PLANI!H165</f>
        <v>ENG 102 - 07 (MMF)</v>
      </c>
      <c r="C7" s="66">
        <f>DERS_PLANI!H177</f>
        <v>0</v>
      </c>
      <c r="D7" s="66" t="str">
        <f>DERS_PLANI!H189</f>
        <v xml:space="preserve">ENG 202 - 03 (SIYASET BILIMI)  </v>
      </c>
      <c r="E7" s="66">
        <f>DERS_PLANI!H201</f>
        <v>0</v>
      </c>
      <c r="F7" s="67">
        <f>DERS_PLANI!H213</f>
        <v>0</v>
      </c>
    </row>
    <row r="8" spans="1:6" ht="24" customHeight="1">
      <c r="A8" s="196" t="s">
        <v>530</v>
      </c>
      <c r="B8" s="66">
        <f>DERS_PLANI!H166</f>
        <v>0</v>
      </c>
      <c r="C8" s="66">
        <f>DERS_PLANI!H178</f>
        <v>0</v>
      </c>
      <c r="D8" s="66">
        <f>DERS_PLANI!H190</f>
        <v>0</v>
      </c>
      <c r="E8" s="66">
        <f>DERS_PLANI!H202</f>
        <v>0</v>
      </c>
      <c r="F8" s="67">
        <f>DERS_PLANI!H214</f>
        <v>0</v>
      </c>
    </row>
    <row r="9" spans="1:6" ht="24" customHeight="1">
      <c r="A9" s="196" t="s">
        <v>727</v>
      </c>
      <c r="B9" s="66" t="str">
        <f>DERS_PLANI!H167</f>
        <v>ENG 202 - 04 (ISLETME)</v>
      </c>
      <c r="C9" s="66">
        <f>DERS_PLANI!H179</f>
        <v>0</v>
      </c>
      <c r="D9" s="66">
        <f>DERS_PLANI!H191</f>
        <v>0</v>
      </c>
      <c r="E9" s="66">
        <f>DERS_PLANI!H203</f>
        <v>0</v>
      </c>
      <c r="F9" s="67">
        <f>DERS_PLANI!H215</f>
        <v>0</v>
      </c>
    </row>
    <row r="10" spans="1:6" ht="24" customHeight="1">
      <c r="A10" s="196" t="s">
        <v>728</v>
      </c>
      <c r="B10" s="66" t="str">
        <f>DERS_PLANI!H168</f>
        <v xml:space="preserve">ENG 202 - 04 (ISLETME) </v>
      </c>
      <c r="C10" s="66">
        <f>DERS_PLANI!H180</f>
        <v>0</v>
      </c>
      <c r="D10" s="66">
        <f>DERS_PLANI!H192</f>
        <v>0</v>
      </c>
      <c r="E10" s="66">
        <f>DERS_PLANI!H204</f>
        <v>0</v>
      </c>
      <c r="F10" s="67">
        <f>DERS_PLANI!H216</f>
        <v>0</v>
      </c>
    </row>
    <row r="11" spans="1:6" ht="24" customHeight="1">
      <c r="A11" s="196" t="s">
        <v>544</v>
      </c>
      <c r="B11" s="66">
        <f>DERS_PLANI!H169</f>
        <v>0</v>
      </c>
      <c r="C11" s="66">
        <f>DERS_PLANI!H181</f>
        <v>0</v>
      </c>
      <c r="D11" s="66">
        <f>DERS_PLANI!H193</f>
        <v>0</v>
      </c>
      <c r="E11" s="66">
        <f>DERS_PLANI!H205</f>
        <v>0</v>
      </c>
      <c r="F11" s="67">
        <f>DERS_PLANI!H217</f>
        <v>0</v>
      </c>
    </row>
    <row r="12" spans="1:6" ht="24" customHeight="1">
      <c r="A12" s="196" t="s">
        <v>705</v>
      </c>
      <c r="B12" s="66">
        <f>DERS_PLANI!H170</f>
        <v>0</v>
      </c>
      <c r="C12" s="66">
        <f>DERS_PLANI!H182</f>
        <v>0</v>
      </c>
      <c r="D12" s="66">
        <f>DERS_PLANI!H194</f>
        <v>0</v>
      </c>
      <c r="E12" s="66">
        <f>DERS_PLANI!H206</f>
        <v>0</v>
      </c>
      <c r="F12" s="67">
        <f>DERS_PLANI!H218</f>
        <v>0</v>
      </c>
    </row>
    <row r="13" spans="1:6" ht="24" customHeight="1">
      <c r="A13" s="196" t="s">
        <v>703</v>
      </c>
      <c r="B13" s="66">
        <f>DERS_PLANI!H171</f>
        <v>0</v>
      </c>
      <c r="C13" s="66">
        <f>DERS_PLANI!H183</f>
        <v>0</v>
      </c>
      <c r="D13" s="66">
        <f>DERS_PLANI!H195</f>
        <v>0</v>
      </c>
      <c r="E13" s="66">
        <f>DERS_PLANI!H207</f>
        <v>0</v>
      </c>
      <c r="F13" s="67">
        <f>DERS_PLANI!H219</f>
        <v>0</v>
      </c>
    </row>
    <row r="14" spans="1:6" ht="24" customHeight="1">
      <c r="A14" s="196" t="s">
        <v>704</v>
      </c>
      <c r="B14" s="66">
        <f>DERS_PLANI!H172</f>
        <v>0</v>
      </c>
      <c r="C14" s="66">
        <f>DERS_PLANI!H184</f>
        <v>0</v>
      </c>
      <c r="D14" s="66">
        <f>DERS_PLANI!H196</f>
        <v>0</v>
      </c>
      <c r="E14" s="66">
        <f>DERS_PLANI!H208</f>
        <v>0</v>
      </c>
      <c r="F14" s="67">
        <f>DERS_PLANI!H220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5316-16B4-4398-ACFD-32EEF7452B9E}">
  <sheetPr>
    <pageSetUpPr fitToPage="1"/>
  </sheetPr>
  <dimension ref="A1:F14"/>
  <sheetViews>
    <sheetView workbookViewId="0">
      <selection activeCell="C9" sqref="C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734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DERS_PLANI!G161</f>
        <v>0</v>
      </c>
      <c r="C3" s="66">
        <f>DERS_PLANI!G173</f>
        <v>0</v>
      </c>
      <c r="D3" s="66">
        <f>DERS_PLANI!G185</f>
        <v>0</v>
      </c>
      <c r="E3" s="66">
        <f>DERS_PLANI!G197</f>
        <v>0</v>
      </c>
      <c r="F3" s="66">
        <f>DERS_PLANI!G209</f>
        <v>0</v>
      </c>
    </row>
    <row r="4" spans="1:6" ht="24" customHeight="1">
      <c r="A4" s="196" t="s">
        <v>723</v>
      </c>
      <c r="B4" s="66">
        <f>DERS_PLANI!G162</f>
        <v>0</v>
      </c>
      <c r="C4" s="66">
        <f>DERS_PLANI!G174</f>
        <v>0</v>
      </c>
      <c r="D4" s="66">
        <f>DERS_PLANI!G186</f>
        <v>0</v>
      </c>
      <c r="E4" s="66">
        <f>DERS_PLANI!G198</f>
        <v>0</v>
      </c>
      <c r="F4" s="66">
        <f>DERS_PLANI!G210</f>
        <v>0</v>
      </c>
    </row>
    <row r="5" spans="1:6" ht="24" customHeight="1">
      <c r="A5" s="196" t="s">
        <v>724</v>
      </c>
      <c r="B5" s="66">
        <f>DERS_PLANI!G163</f>
        <v>0</v>
      </c>
      <c r="C5" s="66">
        <f>DERS_PLANI!G175</f>
        <v>0</v>
      </c>
      <c r="D5" s="66">
        <f>DERS_PLANI!G187</f>
        <v>0</v>
      </c>
      <c r="E5" s="66">
        <f>DERS_PLANI!G199</f>
        <v>0</v>
      </c>
      <c r="F5" s="66">
        <f>DERS_PLANI!G211</f>
        <v>0</v>
      </c>
    </row>
    <row r="6" spans="1:6" ht="24" customHeight="1">
      <c r="A6" s="196" t="s">
        <v>725</v>
      </c>
      <c r="B6" s="66">
        <f>DERS_PLANI!G164</f>
        <v>0</v>
      </c>
      <c r="C6" s="66">
        <f>DERS_PLANI!G176</f>
        <v>0</v>
      </c>
      <c r="D6" s="66">
        <f>DERS_PLANI!G188</f>
        <v>0</v>
      </c>
      <c r="E6" s="66">
        <f>DERS_PLANI!G200</f>
        <v>0</v>
      </c>
      <c r="F6" s="66">
        <f>DERS_PLANI!G212</f>
        <v>0</v>
      </c>
    </row>
    <row r="7" spans="1:6" ht="24" customHeight="1">
      <c r="A7" s="196" t="s">
        <v>726</v>
      </c>
      <c r="B7" s="66">
        <f>DERS_PLANI!G165</f>
        <v>0</v>
      </c>
      <c r="C7" s="66">
        <f>DERS_PLANI!G177</f>
        <v>0</v>
      </c>
      <c r="D7" s="66">
        <f>DERS_PLANI!G189</f>
        <v>0</v>
      </c>
      <c r="E7" s="66">
        <f>DERS_PLANI!G201</f>
        <v>0</v>
      </c>
      <c r="F7" s="66">
        <f>DERS_PLANI!G213</f>
        <v>0</v>
      </c>
    </row>
    <row r="8" spans="1:6" ht="24" customHeight="1">
      <c r="A8" s="196" t="s">
        <v>530</v>
      </c>
      <c r="B8" s="66">
        <f>DERS_PLANI!G166</f>
        <v>0</v>
      </c>
      <c r="C8" s="66">
        <f>DERS_PLANI!G178</f>
        <v>0</v>
      </c>
      <c r="D8" s="66">
        <f>DERS_PLANI!G190</f>
        <v>0</v>
      </c>
      <c r="E8" s="66">
        <f>DERS_PLANI!G202</f>
        <v>0</v>
      </c>
      <c r="F8" s="66">
        <f>DERS_PLANI!G214</f>
        <v>0</v>
      </c>
    </row>
    <row r="9" spans="1:6" ht="24" customHeight="1">
      <c r="A9" s="196" t="s">
        <v>727</v>
      </c>
      <c r="B9" s="66">
        <f>DERS_PLANI!G167</f>
        <v>0</v>
      </c>
      <c r="C9" s="66">
        <f>DERS_PLANI!G179</f>
        <v>0</v>
      </c>
      <c r="D9" s="66">
        <f>DERS_PLANI!G191</f>
        <v>0</v>
      </c>
      <c r="E9" s="66">
        <f>DERS_PLANI!G203</f>
        <v>0</v>
      </c>
      <c r="F9" s="66">
        <f>DERS_PLANI!G215</f>
        <v>0</v>
      </c>
    </row>
    <row r="10" spans="1:6" ht="24" customHeight="1">
      <c r="A10" s="196" t="s">
        <v>728</v>
      </c>
      <c r="B10" s="66">
        <f>DERS_PLANI!G168</f>
        <v>0</v>
      </c>
      <c r="C10" s="66">
        <f>DERS_PLANI!G180</f>
        <v>0</v>
      </c>
      <c r="D10" s="66">
        <f>DERS_PLANI!G192</f>
        <v>0</v>
      </c>
      <c r="E10" s="66">
        <f>DERS_PLANI!G204</f>
        <v>0</v>
      </c>
      <c r="F10" s="66">
        <f>DERS_PLANI!G216</f>
        <v>0</v>
      </c>
    </row>
    <row r="11" spans="1:6" ht="24" customHeight="1">
      <c r="A11" s="196" t="s">
        <v>544</v>
      </c>
      <c r="B11" s="66">
        <f>DERS_PLANI!G169</f>
        <v>0</v>
      </c>
      <c r="C11" s="66">
        <f>DERS_PLANI!G181</f>
        <v>0</v>
      </c>
      <c r="D11" s="66">
        <f>DERS_PLANI!G193</f>
        <v>0</v>
      </c>
      <c r="E11" s="66">
        <f>DERS_PLANI!G205</f>
        <v>0</v>
      </c>
      <c r="F11" s="66">
        <f>DERS_PLANI!G217</f>
        <v>0</v>
      </c>
    </row>
    <row r="12" spans="1:6" ht="24" customHeight="1">
      <c r="A12" s="196" t="s">
        <v>705</v>
      </c>
      <c r="B12" s="66">
        <f>DERS_PLANI!G170</f>
        <v>0</v>
      </c>
      <c r="C12" s="66">
        <f>DERS_PLANI!G182</f>
        <v>0</v>
      </c>
      <c r="D12" s="66">
        <f>DERS_PLANI!G194</f>
        <v>0</v>
      </c>
      <c r="E12" s="66">
        <f>DERS_PLANI!G206</f>
        <v>0</v>
      </c>
      <c r="F12" s="66">
        <f>DERS_PLANI!G218</f>
        <v>0</v>
      </c>
    </row>
    <row r="13" spans="1:6" ht="24" customHeight="1">
      <c r="A13" s="196" t="s">
        <v>703</v>
      </c>
      <c r="B13" s="66">
        <f>DERS_PLANI!G171</f>
        <v>0</v>
      </c>
      <c r="C13" s="66">
        <f>DERS_PLANI!G183</f>
        <v>0</v>
      </c>
      <c r="D13" s="66">
        <f>DERS_PLANI!G195</f>
        <v>0</v>
      </c>
      <c r="E13" s="66">
        <f>DERS_PLANI!G207</f>
        <v>0</v>
      </c>
      <c r="F13" s="66">
        <f>DERS_PLANI!G219</f>
        <v>0</v>
      </c>
    </row>
    <row r="14" spans="1:6" ht="24" customHeight="1">
      <c r="A14" s="196" t="s">
        <v>704</v>
      </c>
      <c r="B14" s="66">
        <f>DERS_PLANI!G172</f>
        <v>0</v>
      </c>
      <c r="C14" s="66">
        <f>DERS_PLANI!G184</f>
        <v>0</v>
      </c>
      <c r="D14" s="66">
        <f>DERS_PLANI!G196</f>
        <v>0</v>
      </c>
      <c r="E14" s="66">
        <f>DERS_PLANI!G208</f>
        <v>0</v>
      </c>
      <c r="F14" s="66">
        <f>DERS_PLANI!G220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A9B4-84B2-4141-9A22-AFECC2A79463}">
  <sheetPr>
    <pageSetUpPr fitToPage="1"/>
  </sheetPr>
  <dimension ref="A1:F14"/>
  <sheetViews>
    <sheetView workbookViewId="0">
      <selection activeCell="D9" sqref="D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65" t="s">
        <v>735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DERS_PLANI!F161</f>
        <v>0</v>
      </c>
      <c r="C3" s="66">
        <f>DERS_PLANI!F173</f>
        <v>0</v>
      </c>
      <c r="D3" s="66">
        <f>DERS_PLANI!F185</f>
        <v>0</v>
      </c>
      <c r="E3" s="66">
        <f>DERS_PLANI!F197</f>
        <v>0</v>
      </c>
      <c r="F3" s="66">
        <f>DERS_PLANI!F209</f>
        <v>0</v>
      </c>
    </row>
    <row r="4" spans="1:6" ht="24" customHeight="1">
      <c r="A4" s="196" t="s">
        <v>723</v>
      </c>
      <c r="B4" s="66">
        <f>DERS_PLANI!F162</f>
        <v>0</v>
      </c>
      <c r="C4" s="66">
        <f>DERS_PLANI!F174</f>
        <v>0</v>
      </c>
      <c r="D4" s="66">
        <f>DERS_PLANI!F186</f>
        <v>0</v>
      </c>
      <c r="E4" s="66">
        <f>DERS_PLANI!F198</f>
        <v>0</v>
      </c>
      <c r="F4" s="66">
        <f>DERS_PLANI!F210</f>
        <v>0</v>
      </c>
    </row>
    <row r="5" spans="1:6" ht="24" customHeight="1">
      <c r="A5" s="196" t="s">
        <v>724</v>
      </c>
      <c r="B5" s="66">
        <f>DERS_PLANI!F163</f>
        <v>0</v>
      </c>
      <c r="C5" s="66">
        <f>DERS_PLANI!F175</f>
        <v>0</v>
      </c>
      <c r="D5" s="66">
        <f>DERS_PLANI!F187</f>
        <v>0</v>
      </c>
      <c r="E5" s="66">
        <f>DERS_PLANI!F199</f>
        <v>0</v>
      </c>
      <c r="F5" s="66">
        <f>DERS_PLANI!F211</f>
        <v>0</v>
      </c>
    </row>
    <row r="6" spans="1:6" ht="24" customHeight="1">
      <c r="A6" s="196" t="s">
        <v>725</v>
      </c>
      <c r="B6" s="66" t="str">
        <f>DERS_PLANI!F164</f>
        <v xml:space="preserve">FLM 208 </v>
      </c>
      <c r="C6" s="66" t="str">
        <f>DERS_PLANI!F176</f>
        <v xml:space="preserve">FLM 402 </v>
      </c>
      <c r="D6" s="66">
        <f>DERS_PLANI!F188</f>
        <v>0</v>
      </c>
      <c r="E6" s="66">
        <f>DERS_PLANI!F200</f>
        <v>0</v>
      </c>
      <c r="F6" s="66">
        <f>DERS_PLANI!F212</f>
        <v>0</v>
      </c>
    </row>
    <row r="7" spans="1:6" ht="24" customHeight="1">
      <c r="A7" s="196" t="s">
        <v>726</v>
      </c>
      <c r="B7" s="66" t="str">
        <f>DERS_PLANI!F165</f>
        <v xml:space="preserve">FLM 208 </v>
      </c>
      <c r="C7" s="66" t="str">
        <f>DERS_PLANI!F177</f>
        <v xml:space="preserve">FLM 402 </v>
      </c>
      <c r="D7" s="66">
        <f>DERS_PLANI!F189</f>
        <v>0</v>
      </c>
      <c r="E7" s="66">
        <f>DERS_PLANI!F201</f>
        <v>0</v>
      </c>
      <c r="F7" s="66">
        <f>DERS_PLANI!F213</f>
        <v>0</v>
      </c>
    </row>
    <row r="8" spans="1:6" ht="24" customHeight="1">
      <c r="A8" s="196" t="s">
        <v>530</v>
      </c>
      <c r="B8" s="66" t="str">
        <f>DERS_PLANI!F166</f>
        <v xml:space="preserve">FLM 208 </v>
      </c>
      <c r="C8" s="66" t="str">
        <f>DERS_PLANI!F178</f>
        <v xml:space="preserve">FLM 402 </v>
      </c>
      <c r="D8" s="66">
        <f>DERS_PLANI!F190</f>
        <v>0</v>
      </c>
      <c r="E8" s="66">
        <f>DERS_PLANI!F202</f>
        <v>0</v>
      </c>
      <c r="F8" s="66">
        <f>DERS_PLANI!F214</f>
        <v>0</v>
      </c>
    </row>
    <row r="9" spans="1:6" ht="24" customHeight="1">
      <c r="A9" s="196" t="s">
        <v>727</v>
      </c>
      <c r="B9" s="66" t="str">
        <f>DERS_PLANI!F167</f>
        <v xml:space="preserve">FLM 208 </v>
      </c>
      <c r="C9" s="66" t="str">
        <f>DERS_PLANI!F179</f>
        <v xml:space="preserve">FLM 402 </v>
      </c>
      <c r="D9" s="66">
        <f>DERS_PLANI!F191</f>
        <v>0</v>
      </c>
      <c r="E9" s="66">
        <f>DERS_PLANI!F203</f>
        <v>0</v>
      </c>
      <c r="F9" s="66">
        <f>DERS_PLANI!F215</f>
        <v>0</v>
      </c>
    </row>
    <row r="10" spans="1:6" ht="24" customHeight="1">
      <c r="A10" s="196" t="s">
        <v>728</v>
      </c>
      <c r="B10" s="66">
        <f>DERS_PLANI!F168</f>
        <v>0</v>
      </c>
      <c r="C10" s="66">
        <f>DERS_PLANI!F180</f>
        <v>0</v>
      </c>
      <c r="D10" s="66">
        <f>DERS_PLANI!F192</f>
        <v>0</v>
      </c>
      <c r="E10" s="66">
        <f>DERS_PLANI!F204</f>
        <v>0</v>
      </c>
      <c r="F10" s="66">
        <f>DERS_PLANI!F216</f>
        <v>0</v>
      </c>
    </row>
    <row r="11" spans="1:6" ht="24" customHeight="1">
      <c r="A11" s="196" t="s">
        <v>544</v>
      </c>
      <c r="B11" s="66">
        <f>DERS_PLANI!F169</f>
        <v>0</v>
      </c>
      <c r="C11" s="66">
        <f>DERS_PLANI!F181</f>
        <v>0</v>
      </c>
      <c r="D11" s="66">
        <f>DERS_PLANI!F193</f>
        <v>0</v>
      </c>
      <c r="E11" s="66">
        <f>DERS_PLANI!F205</f>
        <v>0</v>
      </c>
      <c r="F11" s="66">
        <f>DERS_PLANI!F217</f>
        <v>0</v>
      </c>
    </row>
    <row r="12" spans="1:6" ht="24" customHeight="1">
      <c r="A12" s="196" t="s">
        <v>705</v>
      </c>
      <c r="B12" s="66">
        <f>DERS_PLANI!F170</f>
        <v>0</v>
      </c>
      <c r="C12" s="66">
        <f>DERS_PLANI!F182</f>
        <v>0</v>
      </c>
      <c r="D12" s="66">
        <f>DERS_PLANI!F194</f>
        <v>0</v>
      </c>
      <c r="E12" s="66">
        <f>DERS_PLANI!F206</f>
        <v>0</v>
      </c>
      <c r="F12" s="66">
        <f>DERS_PLANI!F218</f>
        <v>0</v>
      </c>
    </row>
    <row r="13" spans="1:6" ht="24" customHeight="1">
      <c r="A13" s="196" t="s">
        <v>703</v>
      </c>
      <c r="B13" s="66">
        <f>DERS_PLANI!F171</f>
        <v>0</v>
      </c>
      <c r="C13" s="66">
        <f>DERS_PLANI!F183</f>
        <v>0</v>
      </c>
      <c r="D13" s="66">
        <f>DERS_PLANI!F195</f>
        <v>0</v>
      </c>
      <c r="E13" s="66">
        <f>DERS_PLANI!F207</f>
        <v>0</v>
      </c>
      <c r="F13" s="66">
        <f>DERS_PLANI!F219</f>
        <v>0</v>
      </c>
    </row>
    <row r="14" spans="1:6" ht="24" customHeight="1">
      <c r="A14" s="196" t="s">
        <v>704</v>
      </c>
      <c r="B14" s="66">
        <f>DERS_PLANI!F172</f>
        <v>0</v>
      </c>
      <c r="C14" s="66">
        <f>DERS_PLANI!F184</f>
        <v>0</v>
      </c>
      <c r="D14" s="66">
        <f>DERS_PLANI!F196</f>
        <v>0</v>
      </c>
      <c r="E14" s="66">
        <f>DERS_PLANI!F208</f>
        <v>0</v>
      </c>
      <c r="F14" s="66">
        <f>DERS_PLANI!F220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C9D4-51D9-4CE4-9144-B0EB4135237A}">
  <sheetPr>
    <pageSetUpPr fitToPage="1"/>
  </sheetPr>
  <dimension ref="A1:F14"/>
  <sheetViews>
    <sheetView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736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DERS_PLANI!W85</f>
        <v>0</v>
      </c>
      <c r="C3" s="66">
        <f>DERS_PLANI!W97</f>
        <v>0</v>
      </c>
      <c r="D3" s="314" t="str">
        <f>DERS_PLANI!W109</f>
        <v>PHY 104 (Lab) - Sec 2 (Vedat Tanrıverdi)</v>
      </c>
      <c r="E3" s="314" t="str">
        <f>DERS_PLANI!W121</f>
        <v>PHY 104 (Lab) - Sec 3(Vedat Tanrıverdi)</v>
      </c>
      <c r="F3" s="314" t="str">
        <f>DERS_PLANI!W133</f>
        <v>PHY 104 (Lab) - Sec 1(Vedat Tanrıverdi)</v>
      </c>
    </row>
    <row r="4" spans="1:6" ht="24" customHeight="1">
      <c r="A4" s="196" t="s">
        <v>723</v>
      </c>
      <c r="B4" s="66">
        <f>DERS_PLANI!W86</f>
        <v>0</v>
      </c>
      <c r="C4" s="66">
        <f>DERS_PLANI!W98</f>
        <v>0</v>
      </c>
      <c r="D4" s="314" t="str">
        <f>DERS_PLANI!W110</f>
        <v>PHY 104 (Lab) - Sec 2 (Vedat Tanrıverdi)</v>
      </c>
      <c r="E4" s="314" t="str">
        <f>DERS_PLANI!W122</f>
        <v>PHY 104 (Lab) - Sec 3(Vedat Tanrıverdi)</v>
      </c>
      <c r="F4" s="314" t="str">
        <f>DERS_PLANI!W134</f>
        <v>PHY 104 (Lab) - Sec 1(Vedat Tanrıverdi)</v>
      </c>
    </row>
    <row r="5" spans="1:6" ht="24" customHeight="1">
      <c r="A5" s="196" t="s">
        <v>724</v>
      </c>
      <c r="B5" s="66">
        <f>DERS_PLANI!W87</f>
        <v>0</v>
      </c>
      <c r="C5" s="66">
        <f>DERS_PLANI!W99</f>
        <v>0</v>
      </c>
      <c r="D5" s="66">
        <f>DERS_PLANI!W111</f>
        <v>0</v>
      </c>
      <c r="E5" s="66">
        <f>DERS_PLANI!W123</f>
        <v>0</v>
      </c>
      <c r="F5" s="66">
        <f>DERS_PLANI!W135</f>
        <v>0</v>
      </c>
    </row>
    <row r="6" spans="1:6" ht="24" customHeight="1">
      <c r="A6" s="196" t="s">
        <v>725</v>
      </c>
      <c r="B6" s="66">
        <f>DERS_PLANI!W88</f>
        <v>0</v>
      </c>
      <c r="C6" s="66">
        <f>DERS_PLANI!W100</f>
        <v>0</v>
      </c>
      <c r="D6" s="66">
        <f>DERS_PLANI!W112</f>
        <v>0</v>
      </c>
      <c r="E6" s="66">
        <f>DERS_PLANI!W124</f>
        <v>0</v>
      </c>
      <c r="F6" s="66">
        <f>DERS_PLANI!W136</f>
        <v>0</v>
      </c>
    </row>
    <row r="7" spans="1:6" ht="24" customHeight="1">
      <c r="A7" s="196" t="s">
        <v>726</v>
      </c>
      <c r="B7" s="66">
        <f>DERS_PLANI!W89</f>
        <v>0</v>
      </c>
      <c r="C7" s="66">
        <f>DERS_PLANI!W101</f>
        <v>0</v>
      </c>
      <c r="D7" s="66">
        <f>DERS_PLANI!W113</f>
        <v>0</v>
      </c>
      <c r="E7" s="66">
        <f>DERS_PLANI!W125</f>
        <v>0</v>
      </c>
      <c r="F7" s="66">
        <f>DERS_PLANI!W137</f>
        <v>0</v>
      </c>
    </row>
    <row r="8" spans="1:6" ht="24" customHeight="1">
      <c r="A8" s="196" t="s">
        <v>530</v>
      </c>
      <c r="B8" s="66">
        <f>DERS_PLANI!W90</f>
        <v>0</v>
      </c>
      <c r="C8" s="66">
        <f>DERS_PLANI!W102</f>
        <v>0</v>
      </c>
      <c r="D8" s="66">
        <f>DERS_PLANI!W114</f>
        <v>0</v>
      </c>
      <c r="E8" s="66">
        <f>DERS_PLANI!W126</f>
        <v>0</v>
      </c>
      <c r="F8" s="66">
        <f>DERS_PLANI!W138</f>
        <v>0</v>
      </c>
    </row>
    <row r="9" spans="1:6" ht="24" customHeight="1">
      <c r="A9" s="196" t="s">
        <v>727</v>
      </c>
      <c r="B9" s="66">
        <f>DERS_PLANI!W91</f>
        <v>0</v>
      </c>
      <c r="C9" s="66">
        <f>DERS_PLANI!W103</f>
        <v>0</v>
      </c>
      <c r="D9" s="66">
        <f>DERS_PLANI!W115</f>
        <v>0</v>
      </c>
      <c r="E9" s="66" t="str">
        <f>DERS_PLANI!W127</f>
        <v>FIZ 104 (Lab) - Sec 1 (Esra Eroğlu)</v>
      </c>
      <c r="F9" s="66">
        <f>DERS_PLANI!W139</f>
        <v>0</v>
      </c>
    </row>
    <row r="10" spans="1:6" ht="24" customHeight="1">
      <c r="A10" s="197" t="s">
        <v>728</v>
      </c>
      <c r="B10" s="66">
        <f>DERS_PLANI!W92</f>
        <v>0</v>
      </c>
      <c r="C10" s="66">
        <f>DERS_PLANI!W104</f>
        <v>0</v>
      </c>
      <c r="D10" s="66">
        <f>DERS_PLANI!W116</f>
        <v>0</v>
      </c>
      <c r="E10" s="66" t="str">
        <f>DERS_PLANI!W128</f>
        <v>FIZ 104 (Lab) - Sec 1 (Esra Eroğlu)</v>
      </c>
      <c r="F10" s="66">
        <f>DERS_PLANI!W140</f>
        <v>0</v>
      </c>
    </row>
    <row r="11" spans="1:6" ht="24" customHeight="1">
      <c r="A11" s="198" t="s">
        <v>544</v>
      </c>
      <c r="B11" s="66">
        <f>DERS_PLANI!W93</f>
        <v>0</v>
      </c>
      <c r="C11" s="66">
        <f>DERS_PLANI!W105</f>
        <v>0</v>
      </c>
      <c r="D11" s="66">
        <f>DERS_PLANI!W117</f>
        <v>0</v>
      </c>
      <c r="E11" s="66">
        <f>DERS_PLANI!W129</f>
        <v>0</v>
      </c>
      <c r="F11" s="66">
        <f>DERS_PLANI!W141</f>
        <v>0</v>
      </c>
    </row>
    <row r="12" spans="1:6" ht="24" customHeight="1">
      <c r="A12" s="198" t="s">
        <v>705</v>
      </c>
      <c r="B12" s="66">
        <f>DERS_PLANI!W94</f>
        <v>0</v>
      </c>
      <c r="C12" s="66">
        <f>DERS_PLANI!W106</f>
        <v>0</v>
      </c>
      <c r="D12" s="66">
        <f>DERS_PLANI!W118</f>
        <v>0</v>
      </c>
      <c r="E12" s="66">
        <f>DERS_PLANI!W130</f>
        <v>0</v>
      </c>
      <c r="F12" s="66">
        <f>DERS_PLANI!W142</f>
        <v>0</v>
      </c>
    </row>
    <row r="13" spans="1:6" ht="24" customHeight="1">
      <c r="A13" s="198" t="s">
        <v>703</v>
      </c>
      <c r="B13" s="66">
        <f>DERS_PLANI!W95</f>
        <v>0</v>
      </c>
      <c r="C13" s="66">
        <f>DERS_PLANI!W107</f>
        <v>0</v>
      </c>
      <c r="D13" s="66">
        <f>DERS_PLANI!W119</f>
        <v>0</v>
      </c>
      <c r="E13" s="66">
        <f>DERS_PLANI!W131</f>
        <v>0</v>
      </c>
      <c r="F13" s="66">
        <f>DERS_PLANI!W143</f>
        <v>0</v>
      </c>
    </row>
    <row r="14" spans="1:6" ht="24" customHeight="1">
      <c r="A14" s="198" t="s">
        <v>704</v>
      </c>
      <c r="B14" s="66">
        <f>DERS_PLANI!W96</f>
        <v>0</v>
      </c>
      <c r="C14" s="66">
        <f>DERS_PLANI!W108</f>
        <v>0</v>
      </c>
      <c r="D14" s="66">
        <f>DERS_PLANI!W120</f>
        <v>0</v>
      </c>
      <c r="E14" s="66">
        <f>DERS_PLANI!W132</f>
        <v>0</v>
      </c>
      <c r="F14" s="66">
        <f>DERS_PLANI!W144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2145-CB90-4464-BE25-CD6B900BD239}">
  <sheetPr>
    <pageSetUpPr fitToPage="1"/>
  </sheetPr>
  <dimension ref="A1:F14"/>
  <sheetViews>
    <sheetView topLeftCell="A2" workbookViewId="0">
      <selection activeCell="D5" sqref="D5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737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>
        <f>DERS_PLANI!T85</f>
        <v>0</v>
      </c>
      <c r="C3" s="164">
        <f>DERS_PLANI!T97</f>
        <v>0</v>
      </c>
      <c r="D3" s="164">
        <f>DERS_PLANI!T109</f>
        <v>0</v>
      </c>
      <c r="E3" s="164">
        <f>DERS_PLANI!T121</f>
        <v>0</v>
      </c>
      <c r="F3" s="164">
        <f>DERS_PLANI!T133</f>
        <v>0</v>
      </c>
    </row>
    <row r="4" spans="1:6" ht="24" customHeight="1">
      <c r="A4" s="196" t="s">
        <v>723</v>
      </c>
      <c r="B4" s="164" t="str">
        <f>DERS_PLANI!T86</f>
        <v xml:space="preserve">MYO - İHA204	MİKRODENETLEYİCİLER </v>
      </c>
      <c r="C4" s="164">
        <f>DERS_PLANI!T98</f>
        <v>0</v>
      </c>
      <c r="D4" s="164">
        <f>DERS_PLANI!T110</f>
        <v>0</v>
      </c>
      <c r="E4" s="164" t="str">
        <f>DERS_PLANI!T122</f>
        <v>EEE 203 (Lab) - Sec 1 (Hamed K.)-ORTAK DERS</v>
      </c>
      <c r="F4" s="164" t="str">
        <f>DERS_PLANI!T134</f>
        <v>EEE102- Yusuf Uzun</v>
      </c>
    </row>
    <row r="5" spans="1:6" ht="24" customHeight="1">
      <c r="A5" s="196" t="s">
        <v>724</v>
      </c>
      <c r="B5" s="164" t="str">
        <f>DERS_PLANI!T87</f>
        <v xml:space="preserve">MYO - İHA204	MİKRODENETLEYİCİLER </v>
      </c>
      <c r="C5" s="164">
        <f>DERS_PLANI!T99</f>
        <v>0</v>
      </c>
      <c r="D5" s="164">
        <f>DERS_PLANI!T111</f>
        <v>0</v>
      </c>
      <c r="E5" s="164" t="str">
        <f>DERS_PLANI!T123</f>
        <v>EEE 203 (Lab) - Sec 1 (Hamed K.)</v>
      </c>
      <c r="F5" s="164" t="str">
        <f>DERS_PLANI!T135</f>
        <v>EEE102- Yusuf Uzun</v>
      </c>
    </row>
    <row r="6" spans="1:6" ht="30" customHeight="1">
      <c r="A6" s="196" t="s">
        <v>725</v>
      </c>
      <c r="B6" s="164">
        <f>DERS_PLANI!T88</f>
        <v>0</v>
      </c>
      <c r="C6" s="164">
        <f>DERS_PLANI!T100</f>
        <v>0</v>
      </c>
      <c r="D6" s="164" t="str">
        <f>DERS_PLANI!T112</f>
        <v>EEE 212 (Lab) - Sec 1 (Parisa Akar)</v>
      </c>
      <c r="E6" s="164" t="str">
        <f>DERS_PLANI!T124</f>
        <v>EEE 302 (Lab) - Sec 1 (Yusuf Uzun)</v>
      </c>
      <c r="F6" s="164">
        <f>DERS_PLANI!T136</f>
        <v>0</v>
      </c>
    </row>
    <row r="7" spans="1:6" ht="27.75" customHeight="1">
      <c r="A7" s="196" t="s">
        <v>726</v>
      </c>
      <c r="B7" s="164" t="str">
        <f>DERS_PLANI!T89</f>
        <v xml:space="preserve">MYO - IHA112	TEMEL ELEKTRİK ve ELEKTRONİK ş1 </v>
      </c>
      <c r="C7" s="164">
        <f>DERS_PLANI!T101</f>
        <v>0</v>
      </c>
      <c r="D7" s="164" t="str">
        <f>DERS_PLANI!T113</f>
        <v>EEE 212 (Lab) - Sec 1 (Parisa Akar)</v>
      </c>
      <c r="E7" s="164" t="str">
        <f>DERS_PLANI!T125</f>
        <v>EEE 302 (Lab) - Sec 1 (Yusuf Uzun)</v>
      </c>
      <c r="F7" s="164">
        <f>DERS_PLANI!T137</f>
        <v>0</v>
      </c>
    </row>
    <row r="8" spans="1:6" ht="24" customHeight="1">
      <c r="A8" s="196" t="s">
        <v>530</v>
      </c>
      <c r="B8" s="164" t="str">
        <f>DERS_PLANI!T90</f>
        <v xml:space="preserve">MYO - IHA112	TEMEL ELEKTRİK ve ELEKTRONİK ş1 </v>
      </c>
      <c r="C8" s="164">
        <f>DERS_PLANI!T102</f>
        <v>0</v>
      </c>
      <c r="D8" s="164">
        <f>DERS_PLANI!T114</f>
        <v>0</v>
      </c>
      <c r="E8" s="164">
        <f>DERS_PLANI!T126</f>
        <v>0</v>
      </c>
      <c r="F8" s="164">
        <f>DERS_PLANI!T138</f>
        <v>0</v>
      </c>
    </row>
    <row r="9" spans="1:6" ht="29.25" customHeight="1">
      <c r="A9" s="196" t="s">
        <v>727</v>
      </c>
      <c r="B9" s="164">
        <f>DERS_PLANI!T91</f>
        <v>0</v>
      </c>
      <c r="C9" s="164" t="str">
        <f>DERS_PLANI!T103</f>
        <v>MYO - IHA112	TEMEL ELEKTRİK ve ELEKTRONİK ş2</v>
      </c>
      <c r="D9" s="164" t="str">
        <f>DERS_PLANI!T115</f>
        <v>MYO - IHA206	ARIZA ANALİZ</v>
      </c>
      <c r="E9" s="164">
        <f>DERS_PLANI!T127</f>
        <v>0</v>
      </c>
      <c r="F9" s="164">
        <f>DERS_PLANI!T139</f>
        <v>0</v>
      </c>
    </row>
    <row r="10" spans="1:6" ht="29.25" customHeight="1">
      <c r="A10" s="197" t="s">
        <v>728</v>
      </c>
      <c r="B10" s="164">
        <f>DERS_PLANI!T92</f>
        <v>0</v>
      </c>
      <c r="C10" s="164" t="str">
        <f>DERS_PLANI!T104</f>
        <v>MYO - IHA112	TEMEL ELEKTRİK ve ELEKTRONİK ş2</v>
      </c>
      <c r="D10" s="164" t="str">
        <f>DERS_PLANI!T116</f>
        <v>MYO - IHA206	ARIZA ANALİZ</v>
      </c>
      <c r="E10" s="164">
        <f>DERS_PLANI!T128</f>
        <v>0</v>
      </c>
      <c r="F10" s="164">
        <f>DERS_PLANI!T140</f>
        <v>0</v>
      </c>
    </row>
    <row r="11" spans="1:6" ht="24" customHeight="1">
      <c r="A11" s="198" t="s">
        <v>544</v>
      </c>
      <c r="B11" s="164">
        <f>DERS_PLANI!T93</f>
        <v>0</v>
      </c>
      <c r="C11" s="164">
        <f>DERS_PLANI!T105</f>
        <v>0</v>
      </c>
      <c r="D11" s="164" t="str">
        <f>DERS_PLANI!T117</f>
        <v>MYO - IHA206	ARIZA ANALİZ</v>
      </c>
      <c r="E11" s="164">
        <f>DERS_PLANI!T129</f>
        <v>0</v>
      </c>
      <c r="F11" s="164">
        <f>DERS_PLANI!T141</f>
        <v>0</v>
      </c>
    </row>
    <row r="12" spans="1:6" ht="24" customHeight="1">
      <c r="A12" s="197" t="s">
        <v>705</v>
      </c>
      <c r="B12" s="164">
        <f>DERS_PLANI!T94</f>
        <v>0</v>
      </c>
      <c r="C12" s="164">
        <f>DERS_PLANI!T106</f>
        <v>0</v>
      </c>
      <c r="D12" s="164">
        <f>DERS_PLANI!T118</f>
        <v>0</v>
      </c>
      <c r="E12" s="164">
        <f>DERS_PLANI!T130</f>
        <v>0</v>
      </c>
      <c r="F12" s="164">
        <f>DERS_PLANI!T142</f>
        <v>0</v>
      </c>
    </row>
    <row r="13" spans="1:6" ht="24" customHeight="1">
      <c r="A13" s="197" t="s">
        <v>703</v>
      </c>
      <c r="B13" s="164">
        <f>DERS_PLANI!T95</f>
        <v>0</v>
      </c>
      <c r="C13" s="164">
        <f>DERS_PLANI!T107</f>
        <v>0</v>
      </c>
      <c r="D13" s="164">
        <f>DERS_PLANI!T119</f>
        <v>0</v>
      </c>
      <c r="E13" s="164">
        <f>DERS_PLANI!T131</f>
        <v>0</v>
      </c>
      <c r="F13" s="164">
        <f>DERS_PLANI!T143</f>
        <v>0</v>
      </c>
    </row>
    <row r="14" spans="1:6" ht="24" customHeight="1">
      <c r="A14" s="197" t="s">
        <v>704</v>
      </c>
      <c r="B14" s="164">
        <f>DERS_PLANI!T96</f>
        <v>0</v>
      </c>
      <c r="C14" s="164">
        <f>DERS_PLANI!T108</f>
        <v>0</v>
      </c>
      <c r="D14" s="164">
        <f>DERS_PLANI!T120</f>
        <v>0</v>
      </c>
      <c r="E14" s="164">
        <f>DERS_PLANI!T132</f>
        <v>0</v>
      </c>
      <c r="F14" s="164">
        <f>DERS_PLANI!T144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2778-152B-47CE-A5A9-BFC56DDD34C9}">
  <sheetPr>
    <pageSetUpPr fitToPage="1"/>
  </sheetPr>
  <dimension ref="A1:F14"/>
  <sheetViews>
    <sheetView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738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DERS_PLANI!U85</f>
        <v>MYO  BGT 104	SANALLAŞTIRMA 
VE BULUT TEKNOLOJİLERİ Ş1</v>
      </c>
      <c r="C3" s="164" t="str">
        <f>DERS_PLANI!U97</f>
        <v>MYO - BIL 122 JAVA İLE PROGRAMLAMA II U Ş1</v>
      </c>
      <c r="D3" s="164">
        <f>DERS_PLANI!U109</f>
        <v>0</v>
      </c>
      <c r="E3" s="164" t="str">
        <f>DERS_PLANI!U121</f>
        <v>BM 102 (Lab) - Sec 1 (Hasan Karaaslan)</v>
      </c>
      <c r="F3" s="175" t="str">
        <f>DERS_PLANI!U133</f>
        <v>CENG 102 (Lab) - Sec 2 (Hasan Karaaslan)</v>
      </c>
    </row>
    <row r="4" spans="1:6" ht="24" customHeight="1">
      <c r="A4" s="196" t="s">
        <v>723</v>
      </c>
      <c r="B4" s="164" t="str">
        <f>DERS_PLANI!U86</f>
        <v>MYO  BGT 104	SANALLAŞTIRMA 
VE BULUT TEKNOLOJİLERİ Ş1</v>
      </c>
      <c r="C4" s="164" t="str">
        <f>DERS_PLANI!U98</f>
        <v>MYO - BIL 122 JAVA İLE PROGRAMLAMA II U Ş1</v>
      </c>
      <c r="D4" s="164" t="str">
        <f>DERS_PLANI!U110</f>
        <v>CENG 102 (Lab) - Sec 1 (Hasan Karaaslan)</v>
      </c>
      <c r="E4" s="164" t="str">
        <f>DERS_PLANI!U122</f>
        <v>BM 102 (Lab) - Sec 1 (Hasan Karaaslan)</v>
      </c>
      <c r="F4" s="175" t="str">
        <f>DERS_PLANI!U134</f>
        <v>CENG 102 (Lab) - Sec 2 (Hasan Karaaslan)</v>
      </c>
    </row>
    <row r="5" spans="1:6" ht="24" customHeight="1">
      <c r="A5" s="196" t="s">
        <v>724</v>
      </c>
      <c r="B5" s="164" t="str">
        <f>DERS_PLANI!U87</f>
        <v>MYO  BGT 104	SANALLAŞTIRMA 
VE BULUT TEKNOLOJİLERİ Ş1</v>
      </c>
      <c r="C5" s="164" t="str">
        <f>DERS_PLANI!U99</f>
        <v>MYO - BIL 122 JAVA İLE PROGRAMLAMA II U Ş2</v>
      </c>
      <c r="D5" s="164" t="str">
        <f>DERS_PLANI!U111</f>
        <v>CENG 102 (Lab) - Sec 1 (Hasan Karaaslan)</v>
      </c>
      <c r="E5" s="164">
        <f>DERS_PLANI!U123</f>
        <v>0</v>
      </c>
      <c r="F5" s="175">
        <f>DERS_PLANI!U135</f>
        <v>0</v>
      </c>
    </row>
    <row r="6" spans="1:6" ht="24" customHeight="1">
      <c r="A6" s="196" t="s">
        <v>725</v>
      </c>
      <c r="B6" s="164" t="str">
        <f>DERS_PLANI!U88</f>
        <v>MYO - BIL 224 Algoritma ve Programlama ş1</v>
      </c>
      <c r="C6" s="164" t="str">
        <f>DERS_PLANI!U100</f>
        <v>MYO - BIL 122 JAVA İLE PROGRAMLAMA II U Ş2</v>
      </c>
      <c r="D6" s="164">
        <f>DERS_PLANI!U112</f>
        <v>0</v>
      </c>
      <c r="E6" s="164">
        <f>DERS_PLANI!U124</f>
        <v>0</v>
      </c>
      <c r="F6" s="175">
        <f>DERS_PLANI!U136</f>
        <v>0</v>
      </c>
    </row>
    <row r="7" spans="1:6" ht="24" customHeight="1">
      <c r="A7" s="196" t="s">
        <v>726</v>
      </c>
      <c r="B7" s="164" t="str">
        <f>DERS_PLANI!U89</f>
        <v>MYO - BIL 224 Algoritma ve Programlama ş1</v>
      </c>
      <c r="C7" s="164" t="str">
        <f>DERS_PLANI!U101</f>
        <v>BM 102 (Lab) - Sec 1 (Hasan Karaaslan)</v>
      </c>
      <c r="D7" s="164" t="str">
        <f>DERS_PLANI!U113</f>
        <v>CENG 102 (Lab) - Sec 2 (Hasan Karaaslan)</v>
      </c>
      <c r="E7" s="164" t="str">
        <f>DERS_PLANI!U125</f>
        <v>CENG 102 (Lab) - Sec 1 (Hasan Karaaslan)</v>
      </c>
      <c r="F7" s="175">
        <f>DERS_PLANI!U137</f>
        <v>0</v>
      </c>
    </row>
    <row r="8" spans="1:6" ht="24" customHeight="1">
      <c r="A8" s="196" t="s">
        <v>530</v>
      </c>
      <c r="B8" s="164" t="str">
        <f>DERS_PLANI!U90</f>
        <v>MYO - BIL 224 Algoritma ve Programlama ş1</v>
      </c>
      <c r="C8" s="164" t="str">
        <f>DERS_PLANI!U102</f>
        <v>BM 102 (Lab) - Sec 1 (Hasan Karaaslan)</v>
      </c>
      <c r="D8" s="164" t="str">
        <f>DERS_PLANI!U114</f>
        <v>CENG 102 (Lab) - Sec 2 (Hasan Karaaslan)</v>
      </c>
      <c r="E8" s="164" t="str">
        <f>DERS_PLANI!U126</f>
        <v>CENG 102 (Lab) - Sec 1 (Hasan Karaaslan)</v>
      </c>
      <c r="F8" s="175">
        <f>DERS_PLANI!U138</f>
        <v>0</v>
      </c>
    </row>
    <row r="9" spans="1:6" ht="24" customHeight="1">
      <c r="A9" s="196" t="s">
        <v>727</v>
      </c>
      <c r="B9" s="164" t="str">
        <f>DERS_PLANI!U91</f>
        <v>CENG 101 (Lab) - Sec 1 (Halil Özmen)</v>
      </c>
      <c r="C9" s="164" t="str">
        <f>DERS_PLANI!U103</f>
        <v>MYO - BIL 122 JAVA İLE PROGRAMLAMA II U Ş3</v>
      </c>
      <c r="D9" s="164" t="str">
        <f>DERS_PLANI!U115</f>
        <v>IE 112 - Teknik Resim</v>
      </c>
      <c r="E9" s="164" t="str">
        <f>DERS_PLANI!U127</f>
        <v>CENG 102 (Lab) - Sec 3 (Hasan Karaaslan)</v>
      </c>
      <c r="F9" s="175" t="str">
        <f>DERS_PLANI!U139</f>
        <v>CENG 102 (Lab) - Sec 3 (Hasan Karaaslan)</v>
      </c>
    </row>
    <row r="10" spans="1:6" ht="24" customHeight="1">
      <c r="A10" s="197" t="s">
        <v>728</v>
      </c>
      <c r="B10" s="164" t="str">
        <f>DERS_PLANI!U92</f>
        <v>CENG 101 (Lab) - Sec 1 (Halil Özmen)</v>
      </c>
      <c r="C10" s="164" t="str">
        <f>DERS_PLANI!U104</f>
        <v>MYO - BIL 122 JAVA İLE PROGRAMLAMA II U Ş3</v>
      </c>
      <c r="D10" s="164" t="str">
        <f>DERS_PLANI!U116</f>
        <v>IE 112 - Teknik Resim</v>
      </c>
      <c r="E10" s="164" t="str">
        <f>DERS_PLANI!U128</f>
        <v>CENG 102 (Lab) - Sec 3(Hasan Karaaslan)</v>
      </c>
      <c r="F10" s="175" t="str">
        <f>DERS_PLANI!U140</f>
        <v>CENG 102 (Lab) - Sec 3 (Hasan Karaaslan)</v>
      </c>
    </row>
    <row r="11" spans="1:6" ht="24" customHeight="1">
      <c r="A11" s="198" t="s">
        <v>544</v>
      </c>
      <c r="B11" s="164">
        <f>DERS_PLANI!U93</f>
        <v>0</v>
      </c>
      <c r="C11" s="164">
        <f>DERS_PLANI!U105</f>
        <v>0</v>
      </c>
      <c r="D11" s="164" t="str">
        <f>DERS_PLANI!U117</f>
        <v>IE 112 - Teknik Resim</v>
      </c>
      <c r="E11" s="164">
        <f>DERS_PLANI!U129</f>
        <v>0</v>
      </c>
      <c r="F11" s="175">
        <f>DERS_PLANI!U141</f>
        <v>0</v>
      </c>
    </row>
    <row r="12" spans="1:6" ht="24" customHeight="1">
      <c r="A12" s="198" t="s">
        <v>705</v>
      </c>
      <c r="B12" s="164">
        <f>DERS_PLANI!U94</f>
        <v>0</v>
      </c>
      <c r="C12" s="164">
        <f>DERS_PLANI!U106</f>
        <v>0</v>
      </c>
      <c r="D12" s="164">
        <f>DERS_PLANI!U118</f>
        <v>0</v>
      </c>
      <c r="E12" s="164">
        <f>DERS_PLANI!U130</f>
        <v>0</v>
      </c>
      <c r="F12" s="175">
        <f>DERS_PLANI!U142</f>
        <v>0</v>
      </c>
    </row>
    <row r="13" spans="1:6" ht="24" customHeight="1">
      <c r="A13" s="198" t="s">
        <v>703</v>
      </c>
      <c r="B13" s="164">
        <f>DERS_PLANI!U95</f>
        <v>0</v>
      </c>
      <c r="C13" s="164">
        <f>DERS_PLANI!U107</f>
        <v>0</v>
      </c>
      <c r="D13" s="164">
        <f>DERS_PLANI!U119</f>
        <v>0</v>
      </c>
      <c r="E13" s="164">
        <f>DERS_PLANI!U131</f>
        <v>0</v>
      </c>
      <c r="F13" s="175">
        <f>DERS_PLANI!U143</f>
        <v>0</v>
      </c>
    </row>
    <row r="14" spans="1:6" ht="24" customHeight="1">
      <c r="A14" s="198" t="s">
        <v>704</v>
      </c>
      <c r="B14" s="164">
        <f>DERS_PLANI!U96</f>
        <v>0</v>
      </c>
      <c r="C14" s="164">
        <f>DERS_PLANI!U108</f>
        <v>0</v>
      </c>
      <c r="D14" s="164">
        <f>DERS_PLANI!U120</f>
        <v>0</v>
      </c>
      <c r="E14" s="164">
        <f>DERS_PLANI!U132</f>
        <v>0</v>
      </c>
      <c r="F14" s="175">
        <f>DERS_PLANI!U144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6180-E089-47F4-98A1-1561EC69498A}">
  <sheetPr>
    <pageSetUpPr fitToPage="1"/>
  </sheetPr>
  <dimension ref="A1:F14"/>
  <sheetViews>
    <sheetView workbookViewId="0">
      <selection activeCell="E6" sqref="E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739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DERS_PLANI!V85</f>
        <v>MYO  BGT 102	GÜVENLİ 
AĞ TASARIMI VE CİHAZ YÖNETİMİ Ş1</v>
      </c>
      <c r="C3" s="164" t="str">
        <f>DERS_PLANI!V97</f>
        <v>İTBF</v>
      </c>
      <c r="D3" s="164">
        <f>DERS_PLANI!V109</f>
        <v>0</v>
      </c>
      <c r="E3" s="164" t="str">
        <f>DERS_PLANI!V127</f>
        <v>CENG 102 (Lab) - Sec 3 (Hasan Karaaslan)</v>
      </c>
      <c r="F3" s="175" t="str">
        <f>DERS_PLANI!V133</f>
        <v>CENG 102 (Lab) - Sec 2 (Hasan Karaaslan)</v>
      </c>
    </row>
    <row r="4" spans="1:6" ht="24" customHeight="1">
      <c r="A4" s="196" t="s">
        <v>723</v>
      </c>
      <c r="B4" s="164" t="str">
        <f>DERS_PLANI!V86</f>
        <v>MYO  BGT 102	GÜVENLİ 
AĞ TASARIMI VE CİHAZ YÖNETİMİ Ş1</v>
      </c>
      <c r="C4" s="164" t="str">
        <f>DERS_PLANI!V98</f>
        <v>İTBF</v>
      </c>
      <c r="D4" s="164" t="str">
        <f>DERS_PLANI!V110</f>
        <v>CENG 102 (Lab) - Sec 1 (Hasan Karaaslan)</v>
      </c>
      <c r="E4" s="164" t="str">
        <f>DERS_PLANI!V128</f>
        <v>CENG 102 (Lab) - Sec 3(Hasan Karaaslan)</v>
      </c>
      <c r="F4" s="175" t="str">
        <f>DERS_PLANI!V134</f>
        <v>CENG 102 (Lab) - Sec 2 (Hasan Karaaslan)</v>
      </c>
    </row>
    <row r="5" spans="1:6" ht="24" customHeight="1">
      <c r="A5" s="196" t="s">
        <v>724</v>
      </c>
      <c r="B5" s="164" t="str">
        <f>DERS_PLANI!V87</f>
        <v>MYO  BGT 102	GÜVENLİ 
AĞ TASARIMI VE CİHAZ YÖNETİMİ Ş1</v>
      </c>
      <c r="C5" s="164" t="str">
        <f>DERS_PLANI!V99</f>
        <v>İTBF</v>
      </c>
      <c r="D5" s="164" t="str">
        <f>DERS_PLANI!V111</f>
        <v>CENG 102 (Lab) - Sec 1 (Hasan Karaaslan)</v>
      </c>
      <c r="E5" s="164">
        <f>DERS_PLANI!V129</f>
        <v>0</v>
      </c>
      <c r="F5" s="175">
        <f>DERS_PLANI!V135</f>
        <v>0</v>
      </c>
    </row>
    <row r="6" spans="1:6" ht="24" customHeight="1">
      <c r="A6" s="196" t="s">
        <v>725</v>
      </c>
      <c r="B6" s="164" t="str">
        <f>DERS_PLANI!V88</f>
        <v>MYO - İHA204	MİKRODENETLEYİCİLER</v>
      </c>
      <c r="C6" s="164" t="str">
        <f>DERS_PLANI!V100</f>
        <v>İTBF</v>
      </c>
      <c r="D6" s="164">
        <f>DERS_PLANI!V112</f>
        <v>0</v>
      </c>
      <c r="E6" s="164">
        <f>DERS_PLANI!V130</f>
        <v>0</v>
      </c>
      <c r="F6" s="175">
        <f>DERS_PLANI!V136</f>
        <v>0</v>
      </c>
    </row>
    <row r="7" spans="1:6" ht="24" customHeight="1">
      <c r="A7" s="196" t="s">
        <v>726</v>
      </c>
      <c r="B7" s="164" t="str">
        <f>DERS_PLANI!V89</f>
        <v>MYO - İHA204	MİKRODENETLEYİCİLER</v>
      </c>
      <c r="C7" s="164" t="str">
        <f>DERS_PLANI!V101</f>
        <v>BM 332 (Lab) - Sec 1</v>
      </c>
      <c r="D7" s="164" t="str">
        <f>DERS_PLANI!V113</f>
        <v>CENG 102 (Lab) - Sec 2 (Hasan Karaaslan)</v>
      </c>
      <c r="E7" s="164">
        <f>DERS_PLANI!V131</f>
        <v>0</v>
      </c>
      <c r="F7" s="175">
        <f>DERS_PLANI!V137</f>
        <v>0</v>
      </c>
    </row>
    <row r="8" spans="1:6" ht="24" customHeight="1">
      <c r="A8" s="196" t="s">
        <v>530</v>
      </c>
      <c r="B8" s="164">
        <f>DERS_PLANI!V90</f>
        <v>0</v>
      </c>
      <c r="C8" s="164" t="str">
        <f>DERS_PLANI!V102</f>
        <v>BM 332 (Lab) - Sec 1</v>
      </c>
      <c r="D8" s="164" t="str">
        <f>DERS_PLANI!V114</f>
        <v>CENG 102 (Lab) - Sec 2 (Hasan Karaaslan)</v>
      </c>
      <c r="E8" s="164">
        <f>DERS_PLANI!V132</f>
        <v>0</v>
      </c>
      <c r="F8" s="175">
        <f>DERS_PLANI!V138</f>
        <v>0</v>
      </c>
    </row>
    <row r="9" spans="1:6" ht="24" customHeight="1">
      <c r="A9" s="196" t="s">
        <v>727</v>
      </c>
      <c r="B9" s="164" t="str">
        <f>DERS_PLANI!V91</f>
        <v>EEE 482 (Teorik) - Sec 1 (Mahmut Mol)</v>
      </c>
      <c r="C9" s="164" t="str">
        <f>DERS_PLANI!V103</f>
        <v>İTBF</v>
      </c>
      <c r="D9" s="164" t="str">
        <f>DERS_PLANI!V115</f>
        <v>EEE 304 (Lab) - Sec 1 (Hamed K.)</v>
      </c>
      <c r="E9" s="164" t="str">
        <f>DERS_PLANI!V133</f>
        <v>CENG 102 (Lab) - Sec 2 (Hasan Karaaslan)</v>
      </c>
      <c r="F9" s="175" t="str">
        <f>DERS_PLANI!V139</f>
        <v>CENG 102 (Lab) - Sec 3 (Hasan Karaaslan)</v>
      </c>
    </row>
    <row r="10" spans="1:6" ht="24" customHeight="1">
      <c r="A10" s="197" t="s">
        <v>728</v>
      </c>
      <c r="B10" s="164" t="str">
        <f>DERS_PLANI!V92</f>
        <v>EEE 482 (Teorik) - Sec 1 (Mahmut Mol)</v>
      </c>
      <c r="C10" s="164" t="str">
        <f>DERS_PLANI!V104</f>
        <v>İTBF</v>
      </c>
      <c r="D10" s="164" t="str">
        <f>DERS_PLANI!V116</f>
        <v>EEE 304 (Lab) - Sec 1 (Hamed K.)</v>
      </c>
      <c r="E10" s="164" t="str">
        <f>DERS_PLANI!V134</f>
        <v>CENG 102 (Lab) - Sec 2 (Hasan Karaaslan)</v>
      </c>
      <c r="F10" s="175" t="str">
        <f>DERS_PLANI!V140</f>
        <v>CENG 102 (Lab) - Sec 3 (Hasan Karaaslan)</v>
      </c>
    </row>
    <row r="11" spans="1:6" ht="24" customHeight="1">
      <c r="A11" s="198" t="s">
        <v>544</v>
      </c>
      <c r="B11" s="164" t="str">
        <f>DERS_PLANI!V93</f>
        <v>EEE 482 (Teorik) - Sec 1 (Mahmut Mol)</v>
      </c>
      <c r="C11" s="164" t="str">
        <f>DERS_PLANI!V105</f>
        <v>İTBF</v>
      </c>
      <c r="D11" s="164">
        <f>DERS_PLANI!V117</f>
        <v>0</v>
      </c>
      <c r="E11" s="164">
        <f>DERS_PLANI!V135</f>
        <v>0</v>
      </c>
      <c r="F11" s="175">
        <f>DERS_PLANI!V141</f>
        <v>0</v>
      </c>
    </row>
    <row r="12" spans="1:6" ht="24" customHeight="1">
      <c r="A12" s="198" t="s">
        <v>705</v>
      </c>
      <c r="B12" s="164">
        <f>DERS_PLANI!V94</f>
        <v>0</v>
      </c>
      <c r="C12" s="164">
        <f>DERS_PLANI!V106</f>
        <v>0</v>
      </c>
      <c r="D12" s="164">
        <f>DERS_PLANI!V118</f>
        <v>0</v>
      </c>
      <c r="E12" s="164">
        <f>DERS_PLANI!V136</f>
        <v>0</v>
      </c>
      <c r="F12" s="175">
        <f>DERS_PLANI!V142</f>
        <v>0</v>
      </c>
    </row>
    <row r="13" spans="1:6" ht="24" customHeight="1">
      <c r="A13" s="198" t="s">
        <v>703</v>
      </c>
      <c r="B13" s="164">
        <f>DERS_PLANI!V95</f>
        <v>0</v>
      </c>
      <c r="C13" s="164">
        <f>DERS_PLANI!V107</f>
        <v>0</v>
      </c>
      <c r="D13" s="164">
        <f>DERS_PLANI!V119</f>
        <v>0</v>
      </c>
      <c r="E13" s="164">
        <f>DERS_PLANI!V137</f>
        <v>0</v>
      </c>
      <c r="F13" s="175">
        <f>DERS_PLANI!V143</f>
        <v>0</v>
      </c>
    </row>
    <row r="14" spans="1:6" ht="24" customHeight="1">
      <c r="A14" s="198" t="s">
        <v>704</v>
      </c>
      <c r="B14" s="164">
        <f>DERS_PLANI!V96</f>
        <v>0</v>
      </c>
      <c r="C14" s="164">
        <f>DERS_PLANI!V108</f>
        <v>0</v>
      </c>
      <c r="D14" s="164">
        <f>DERS_PLANI!V120</f>
        <v>0</v>
      </c>
      <c r="E14" s="164">
        <f>DERS_PLANI!V138</f>
        <v>0</v>
      </c>
      <c r="F14" s="175">
        <f>DERS_PLANI!V144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3FC8-5042-4523-A1ED-A852D6C9F425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740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>
        <f>DERS_PLANI!S85</f>
        <v>0</v>
      </c>
      <c r="C3" s="164">
        <f>DERS_PLANI!S97</f>
        <v>0</v>
      </c>
      <c r="D3" s="164">
        <f>DERS_PLANI!S109</f>
        <v>0</v>
      </c>
      <c r="E3" s="164">
        <f>DERS_PLANI!S121</f>
        <v>0</v>
      </c>
      <c r="F3" s="175">
        <f>DERS_PLANI!S133</f>
        <v>0</v>
      </c>
    </row>
    <row r="4" spans="1:6" ht="24" customHeight="1">
      <c r="A4" s="196" t="s">
        <v>723</v>
      </c>
      <c r="B4" s="164">
        <f>DERS_PLANI!S86</f>
        <v>0</v>
      </c>
      <c r="C4" s="164">
        <f>DERS_PLANI!S98</f>
        <v>0</v>
      </c>
      <c r="D4" s="164">
        <f>DERS_PLANI!S110</f>
        <v>0</v>
      </c>
      <c r="E4" s="164">
        <f>DERS_PLANI!S122</f>
        <v>0</v>
      </c>
      <c r="F4" s="175">
        <f>DERS_PLANI!S134</f>
        <v>0</v>
      </c>
    </row>
    <row r="5" spans="1:6" ht="24" customHeight="1">
      <c r="A5" s="196" t="s">
        <v>724</v>
      </c>
      <c r="B5" s="164">
        <f>DERS_PLANI!S87</f>
        <v>0</v>
      </c>
      <c r="C5" s="164">
        <f>DERS_PLANI!S99</f>
        <v>0</v>
      </c>
      <c r="D5" s="164">
        <f>DERS_PLANI!S111</f>
        <v>0</v>
      </c>
      <c r="E5" s="164">
        <f>DERS_PLANI!S123</f>
        <v>0</v>
      </c>
      <c r="F5" s="175">
        <f>DERS_PLANI!S135</f>
        <v>0</v>
      </c>
    </row>
    <row r="6" spans="1:6" ht="24" customHeight="1">
      <c r="A6" s="196" t="s">
        <v>725</v>
      </c>
      <c r="B6" s="164">
        <f>DERS_PLANI!S88</f>
        <v>0</v>
      </c>
      <c r="C6" s="164">
        <f>DERS_PLANI!S100</f>
        <v>0</v>
      </c>
      <c r="D6" s="164">
        <f>DERS_PLANI!S112</f>
        <v>0</v>
      </c>
      <c r="E6" s="164">
        <f>DERS_PLANI!S124</f>
        <v>0</v>
      </c>
      <c r="F6" s="175">
        <f>DERS_PLANI!S136</f>
        <v>0</v>
      </c>
    </row>
    <row r="7" spans="1:6" ht="24" customHeight="1">
      <c r="A7" s="196" t="s">
        <v>726</v>
      </c>
      <c r="B7" s="164">
        <f>DERS_PLANI!S89</f>
        <v>0</v>
      </c>
      <c r="C7" s="164">
        <f>DERS_PLANI!S101</f>
        <v>0</v>
      </c>
      <c r="D7" s="164">
        <f>DERS_PLANI!S113</f>
        <v>0</v>
      </c>
      <c r="E7" s="164">
        <f>DERS_PLANI!S125</f>
        <v>0</v>
      </c>
      <c r="F7" s="175">
        <f>DERS_PLANI!S137</f>
        <v>0</v>
      </c>
    </row>
    <row r="8" spans="1:6" ht="24" customHeight="1">
      <c r="A8" s="196" t="s">
        <v>530</v>
      </c>
      <c r="B8" s="164">
        <f>DERS_PLANI!S90</f>
        <v>0</v>
      </c>
      <c r="C8" s="164">
        <f>DERS_PLANI!S102</f>
        <v>0</v>
      </c>
      <c r="D8" s="164">
        <f>DERS_PLANI!S114</f>
        <v>0</v>
      </c>
      <c r="E8" s="164">
        <f>DERS_PLANI!S126</f>
        <v>0</v>
      </c>
      <c r="F8" s="175">
        <f>DERS_PLANI!S138</f>
        <v>0</v>
      </c>
    </row>
    <row r="9" spans="1:6" ht="24" customHeight="1">
      <c r="A9" s="196" t="s">
        <v>727</v>
      </c>
      <c r="B9" s="164">
        <f>DERS_PLANI!S91</f>
        <v>0</v>
      </c>
      <c r="C9" s="164">
        <f>DERS_PLANI!S103</f>
        <v>0</v>
      </c>
      <c r="D9" s="164">
        <f>DERS_PLANI!S115</f>
        <v>0</v>
      </c>
      <c r="E9" s="164">
        <f>DERS_PLANI!S127</f>
        <v>0</v>
      </c>
      <c r="F9" s="175">
        <f>DERS_PLANI!S139</f>
        <v>0</v>
      </c>
    </row>
    <row r="10" spans="1:6" ht="24" customHeight="1">
      <c r="A10" s="196" t="s">
        <v>728</v>
      </c>
      <c r="B10" s="164">
        <f>DERS_PLANI!S92</f>
        <v>0</v>
      </c>
      <c r="C10" s="164">
        <f>DERS_PLANI!S104</f>
        <v>0</v>
      </c>
      <c r="D10" s="164">
        <f>DERS_PLANI!S116</f>
        <v>0</v>
      </c>
      <c r="E10" s="164">
        <f>DERS_PLANI!S128</f>
        <v>0</v>
      </c>
      <c r="F10" s="175">
        <f>DERS_PLANI!S140</f>
        <v>0</v>
      </c>
    </row>
    <row r="11" spans="1:6" ht="24" customHeight="1">
      <c r="A11" s="196" t="s">
        <v>544</v>
      </c>
      <c r="B11" s="164">
        <f>DERS_PLANI!S93</f>
        <v>0</v>
      </c>
      <c r="C11" s="164">
        <f>DERS_PLANI!S105</f>
        <v>0</v>
      </c>
      <c r="D11" s="164">
        <f>DERS_PLANI!S117</f>
        <v>0</v>
      </c>
      <c r="E11" s="164">
        <f>DERS_PLANI!S129</f>
        <v>0</v>
      </c>
      <c r="F11" s="175">
        <f>DERS_PLANI!S141</f>
        <v>0</v>
      </c>
    </row>
    <row r="12" spans="1:6" ht="24" customHeight="1">
      <c r="A12" s="196" t="s">
        <v>705</v>
      </c>
      <c r="B12" s="164">
        <f>DERS_PLANI!S94</f>
        <v>0</v>
      </c>
      <c r="C12" s="164">
        <f>DERS_PLANI!S106</f>
        <v>0</v>
      </c>
      <c r="D12" s="164">
        <f>DERS_PLANI!S118</f>
        <v>0</v>
      </c>
      <c r="E12" s="164">
        <f>DERS_PLANI!S130</f>
        <v>0</v>
      </c>
      <c r="F12" s="175">
        <f>DERS_PLANI!S142</f>
        <v>0</v>
      </c>
    </row>
    <row r="13" spans="1:6" ht="24" customHeight="1">
      <c r="A13" s="196" t="s">
        <v>703</v>
      </c>
      <c r="B13" s="164">
        <f>DERS_PLANI!S95</f>
        <v>0</v>
      </c>
      <c r="C13" s="164">
        <f>DERS_PLANI!S107</f>
        <v>0</v>
      </c>
      <c r="D13" s="164">
        <f>DERS_PLANI!S119</f>
        <v>0</v>
      </c>
      <c r="E13" s="164">
        <f>DERS_PLANI!S131</f>
        <v>0</v>
      </c>
      <c r="F13" s="175">
        <f>DERS_PLANI!S143</f>
        <v>0</v>
      </c>
    </row>
    <row r="14" spans="1:6" ht="24" customHeight="1">
      <c r="A14" s="196" t="s">
        <v>704</v>
      </c>
      <c r="B14" s="164">
        <f>DERS_PLANI!S96</f>
        <v>0</v>
      </c>
      <c r="C14" s="164">
        <f>DERS_PLANI!S108</f>
        <v>0</v>
      </c>
      <c r="D14" s="164">
        <f>DERS_PLANI!S120</f>
        <v>0</v>
      </c>
      <c r="E14" s="164">
        <f>DERS_PLANI!S132</f>
        <v>0</v>
      </c>
      <c r="F14" s="175">
        <f>DERS_PLANI!S144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89DDE-C65E-487B-A557-0B52A5F46B18}">
  <sheetPr>
    <pageSetUpPr fitToPage="1"/>
  </sheetPr>
  <dimension ref="A1:F14"/>
  <sheetViews>
    <sheetView workbookViewId="0">
      <selection activeCell="C3" sqref="C3:C5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741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314" t="str">
        <f>DERS_PLANI!M85</f>
        <v>YBS 142 JAVA 
DOÇ.DR.GÜNEY GÜRSEL</v>
      </c>
      <c r="C3" s="66" t="str">
        <f>DERS_PLANI!M97</f>
        <v>İTBF</v>
      </c>
      <c r="D3" s="314" t="str">
        <f>DERS_PLANI!M109</f>
        <v>MYO - VTK 204 İÇERİK YÖNETİM SİSTEMLERİ</v>
      </c>
      <c r="E3" s="314" t="str">
        <f>DERS_PLANI!M121</f>
        <v>MYO - VTK 232 	JavaScript ile Programlama</v>
      </c>
      <c r="F3" s="67" t="str">
        <f>DERS_PLANI!M133</f>
        <v>Araştırma Görevlisi Sınavı İTBF</v>
      </c>
    </row>
    <row r="4" spans="1:6" ht="24" customHeight="1">
      <c r="A4" s="196" t="s">
        <v>723</v>
      </c>
      <c r="B4" s="314" t="str">
        <f>DERS_PLANI!M86</f>
        <v>YBS 142 JAVA 
DOÇ.DR.GÜNEY GÜRSEL</v>
      </c>
      <c r="C4" s="66" t="str">
        <f>DERS_PLANI!M98</f>
        <v>İTBF</v>
      </c>
      <c r="D4" s="314" t="str">
        <f>DERS_PLANI!M110</f>
        <v>MYO - VTK 204 İÇERİK YÖNETİM SİSTEMLERİ</v>
      </c>
      <c r="E4" s="314" t="str">
        <f>DERS_PLANI!M122</f>
        <v>MYO - VTK 232 	JavaScript ile Programlama</v>
      </c>
      <c r="F4" s="67" t="str">
        <f>DERS_PLANI!M134</f>
        <v>Araştırma Görevlisi Sınavı İTBF</v>
      </c>
    </row>
    <row r="5" spans="1:6" ht="24" customHeight="1">
      <c r="A5" s="196" t="s">
        <v>724</v>
      </c>
      <c r="B5" s="314" t="str">
        <f>DERS_PLANI!M87</f>
        <v>YBS 142 JAVA 
DOÇ.DR.GÜNEY GÜRSEL</v>
      </c>
      <c r="C5" s="66" t="str">
        <f>DERS_PLANI!M99</f>
        <v>İTBF</v>
      </c>
      <c r="D5" s="314" t="str">
        <f>DERS_PLANI!M111</f>
        <v>MYO - VTK 204 İÇERİK YÖNETİM SİSTEMLERİ</v>
      </c>
      <c r="E5" s="314" t="str">
        <f>DERS_PLANI!M123</f>
        <v>MYO - VTK 232 	JavaScript ile Programlama</v>
      </c>
      <c r="F5" s="67" t="str">
        <f>DERS_PLANI!M135</f>
        <v>Araştırma Görevlisi Sınavı İTBF</v>
      </c>
    </row>
    <row r="6" spans="1:6" ht="24" customHeight="1">
      <c r="A6" s="196" t="s">
        <v>725</v>
      </c>
      <c r="B6" s="314" t="str">
        <f>DERS_PLANI!M88</f>
        <v>MYO - VTK 206 Web Analitiği ve Zekası</v>
      </c>
      <c r="C6" s="314" t="str">
        <f>DERS_PLANI!M100</f>
        <v>MIS 260
(Assoc. Prof. Erdoğan)</v>
      </c>
      <c r="D6" s="314" t="str">
        <f>DERS_PLANI!M112</f>
        <v>MYO - BIL 122 JAVA İLE PROGRAMLAMA II U Ş3</v>
      </c>
      <c r="E6" s="314" t="str">
        <f>DERS_PLANI!M124</f>
        <v>MYO - BIL 224 Algoritma ve Programlama ş2</v>
      </c>
      <c r="F6" s="67">
        <f>DERS_PLANI!M136</f>
        <v>0</v>
      </c>
    </row>
    <row r="7" spans="1:6" ht="24" customHeight="1">
      <c r="A7" s="196" t="s">
        <v>726</v>
      </c>
      <c r="B7" s="314" t="str">
        <f>DERS_PLANI!M89</f>
        <v>MYO - VTK 206 Web Analitiği ve Zekası</v>
      </c>
      <c r="C7" s="314" t="str">
        <f>DERS_PLANI!M101</f>
        <v>MIS 260
(Assoc. Prof. Erdoğan)</v>
      </c>
      <c r="D7" s="314" t="str">
        <f>DERS_PLANI!M113</f>
        <v>MYO - BIL 122 JAVA İLE PROGRAMLAMA II U Ş3</v>
      </c>
      <c r="E7" s="314" t="str">
        <f>DERS_PLANI!M125</f>
        <v>MYO - BIL 224 Algoritma ve Programlama ş2</v>
      </c>
      <c r="F7" s="67">
        <f>DERS_PLANI!M137</f>
        <v>0</v>
      </c>
    </row>
    <row r="8" spans="1:6" ht="24" customHeight="1">
      <c r="A8" s="196" t="s">
        <v>530</v>
      </c>
      <c r="B8" s="314" t="str">
        <f>DERS_PLANI!M90</f>
        <v>MYO - VTK 206 Web Analitiği ve Zekası</v>
      </c>
      <c r="C8" s="314" t="str">
        <f>DERS_PLANI!M102</f>
        <v>MIS 260
(Assoc. Prof. Erdoğan)</v>
      </c>
      <c r="D8" s="314">
        <f>DERS_PLANI!M114</f>
        <v>0</v>
      </c>
      <c r="E8" s="314" t="str">
        <f>DERS_PLANI!M126</f>
        <v>MYO - BIL 224 Algoritma ve Programlama ş2</v>
      </c>
      <c r="F8" s="67">
        <f>DERS_PLANI!M138</f>
        <v>0</v>
      </c>
    </row>
    <row r="9" spans="1:6" ht="24" customHeight="1">
      <c r="A9" s="196" t="s">
        <v>727</v>
      </c>
      <c r="B9" s="66">
        <f>DERS_PLANI!M91</f>
        <v>0</v>
      </c>
      <c r="C9" s="66" t="str">
        <f>DERS_PLANI!M103</f>
        <v>İTBF</v>
      </c>
      <c r="D9" s="66">
        <f>DERS_PLANI!M115</f>
        <v>0</v>
      </c>
      <c r="E9" s="66" t="str">
        <f>DERS_PLANI!M127</f>
        <v>ETI 212</v>
      </c>
      <c r="F9" s="67">
        <f>DERS_PLANI!M139</f>
        <v>0</v>
      </c>
    </row>
    <row r="10" spans="1:6" ht="24" customHeight="1">
      <c r="A10" s="197" t="s">
        <v>728</v>
      </c>
      <c r="B10" s="66">
        <f>DERS_PLANI!M92</f>
        <v>0</v>
      </c>
      <c r="C10" s="66" t="str">
        <f>DERS_PLANI!M104</f>
        <v>İTBF</v>
      </c>
      <c r="D10" s="66">
        <f>DERS_PLANI!M116</f>
        <v>0</v>
      </c>
      <c r="E10" s="66" t="str">
        <f>DERS_PLANI!M128</f>
        <v>ETI 212</v>
      </c>
      <c r="F10" s="67">
        <f>DERS_PLANI!M140</f>
        <v>0</v>
      </c>
    </row>
    <row r="11" spans="1:6" ht="24" customHeight="1">
      <c r="A11" s="198" t="s">
        <v>544</v>
      </c>
      <c r="B11" s="66">
        <f>DERS_PLANI!M93</f>
        <v>0</v>
      </c>
      <c r="C11" s="66" t="str">
        <f>DERS_PLANI!M105</f>
        <v>İTBF</v>
      </c>
      <c r="D11" s="66">
        <f>DERS_PLANI!M117</f>
        <v>0</v>
      </c>
      <c r="E11" s="66" t="str">
        <f>DERS_PLANI!M129</f>
        <v>ETI 212</v>
      </c>
      <c r="F11" s="67">
        <f>DERS_PLANI!M141</f>
        <v>0</v>
      </c>
    </row>
    <row r="12" spans="1:6" ht="24" customHeight="1">
      <c r="A12" s="198" t="s">
        <v>705</v>
      </c>
      <c r="B12" s="66">
        <f>DERS_PLANI!M94</f>
        <v>0</v>
      </c>
      <c r="C12" s="66" t="str">
        <f>DERS_PLANI!M106</f>
        <v>İTBF</v>
      </c>
      <c r="D12" s="66">
        <f>DERS_PLANI!M118</f>
        <v>0</v>
      </c>
      <c r="E12" s="66">
        <f>DERS_PLANI!M130</f>
        <v>0</v>
      </c>
      <c r="F12" s="67">
        <f>DERS_PLANI!M142</f>
        <v>0</v>
      </c>
    </row>
    <row r="13" spans="1:6" ht="24" customHeight="1">
      <c r="A13" s="198" t="s">
        <v>703</v>
      </c>
      <c r="B13" s="66">
        <f>DERS_PLANI!M95</f>
        <v>0</v>
      </c>
      <c r="C13" s="66" t="str">
        <f>DERS_PLANI!M107</f>
        <v>İTBF</v>
      </c>
      <c r="D13" s="66">
        <f>DERS_PLANI!M119</f>
        <v>0</v>
      </c>
      <c r="E13" s="66">
        <f>DERS_PLANI!M131</f>
        <v>0</v>
      </c>
      <c r="F13" s="67">
        <f>DERS_PLANI!M143</f>
        <v>0</v>
      </c>
    </row>
    <row r="14" spans="1:6" ht="24" customHeight="1">
      <c r="A14" s="198" t="s">
        <v>704</v>
      </c>
      <c r="B14" s="66">
        <f>DERS_PLANI!M96</f>
        <v>0</v>
      </c>
      <c r="C14" s="66" t="str">
        <f>DERS_PLANI!M108</f>
        <v>İTBF</v>
      </c>
      <c r="D14" s="66">
        <f>DERS_PLANI!M120</f>
        <v>0</v>
      </c>
      <c r="E14" s="66">
        <f>DERS_PLANI!M132</f>
        <v>0</v>
      </c>
      <c r="F14" s="67">
        <f>DERS_PLANI!M144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B570-F59C-4C67-9B89-8BAC04956E30}">
  <sheetPr>
    <pageSetUpPr fitToPage="1"/>
  </sheetPr>
  <dimension ref="A1:F14"/>
  <sheetViews>
    <sheetView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742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DERS_PLANI!K85</f>
        <v>0</v>
      </c>
      <c r="C3" s="66">
        <f>DERS_PLANI!K97</f>
        <v>0</v>
      </c>
      <c r="D3" s="66">
        <f>DERS_PLANI!K109</f>
        <v>0</v>
      </c>
      <c r="E3" s="66">
        <f>DERS_PLANI!K121</f>
        <v>0</v>
      </c>
      <c r="F3" s="67">
        <f>DERS_PLANI!K133</f>
        <v>0</v>
      </c>
    </row>
    <row r="4" spans="1:6" ht="24" customHeight="1">
      <c r="A4" s="196" t="s">
        <v>723</v>
      </c>
      <c r="B4" s="66">
        <f>DERS_PLANI!K86</f>
        <v>0</v>
      </c>
      <c r="C4" s="66">
        <f>DERS_PLANI!K98</f>
        <v>0</v>
      </c>
      <c r="D4" s="66">
        <f>DERS_PLANI!K110</f>
        <v>0</v>
      </c>
      <c r="E4" s="66">
        <f>DERS_PLANI!K122</f>
        <v>0</v>
      </c>
      <c r="F4" s="67">
        <f>DERS_PLANI!K134</f>
        <v>0</v>
      </c>
    </row>
    <row r="5" spans="1:6" ht="24" customHeight="1">
      <c r="A5" s="196" t="s">
        <v>724</v>
      </c>
      <c r="B5" s="66">
        <f>DERS_PLANI!K87</f>
        <v>0</v>
      </c>
      <c r="C5" s="66">
        <f>DERS_PLANI!K99</f>
        <v>0</v>
      </c>
      <c r="D5" s="66">
        <f>DERS_PLANI!K111</f>
        <v>0</v>
      </c>
      <c r="E5" s="66">
        <f>DERS_PLANI!K123</f>
        <v>0</v>
      </c>
      <c r="F5" s="67">
        <f>DERS_PLANI!K135</f>
        <v>0</v>
      </c>
    </row>
    <row r="6" spans="1:6" ht="24" customHeight="1">
      <c r="A6" s="196" t="s">
        <v>725</v>
      </c>
      <c r="B6" s="66">
        <f>DERS_PLANI!K88</f>
        <v>0</v>
      </c>
      <c r="C6" s="66">
        <f>DERS_PLANI!K100</f>
        <v>0</v>
      </c>
      <c r="D6" s="66">
        <f>DERS_PLANI!K112</f>
        <v>0</v>
      </c>
      <c r="E6" s="66">
        <f>DERS_PLANI!K124</f>
        <v>0</v>
      </c>
      <c r="F6" s="67">
        <f>DERS_PLANI!K136</f>
        <v>0</v>
      </c>
    </row>
    <row r="7" spans="1:6" ht="24" customHeight="1">
      <c r="A7" s="196" t="s">
        <v>726</v>
      </c>
      <c r="B7" s="66">
        <f>DERS_PLANI!K89</f>
        <v>0</v>
      </c>
      <c r="C7" s="66">
        <f>DERS_PLANI!K101</f>
        <v>0</v>
      </c>
      <c r="D7" s="66">
        <f>DERS_PLANI!K113</f>
        <v>0</v>
      </c>
      <c r="E7" s="66">
        <f>DERS_PLANI!K125</f>
        <v>0</v>
      </c>
      <c r="F7" s="67">
        <f>DERS_PLANI!K137</f>
        <v>0</v>
      </c>
    </row>
    <row r="8" spans="1:6" ht="24" customHeight="1">
      <c r="A8" s="196" t="s">
        <v>530</v>
      </c>
      <c r="B8" s="66">
        <f>DERS_PLANI!K90</f>
        <v>0</v>
      </c>
      <c r="C8" s="66">
        <f>DERS_PLANI!K102</f>
        <v>0</v>
      </c>
      <c r="D8" s="66">
        <f>DERS_PLANI!K114</f>
        <v>0</v>
      </c>
      <c r="E8" s="66">
        <f>DERS_PLANI!K126</f>
        <v>0</v>
      </c>
      <c r="F8" s="67">
        <f>DERS_PLANI!K138</f>
        <v>0</v>
      </c>
    </row>
    <row r="9" spans="1:6" ht="24" customHeight="1">
      <c r="A9" s="196" t="s">
        <v>727</v>
      </c>
      <c r="B9" s="66">
        <f>DERS_PLANI!K91</f>
        <v>0</v>
      </c>
      <c r="C9" s="66">
        <f>DERS_PLANI!K103</f>
        <v>0</v>
      </c>
      <c r="D9" s="66">
        <f>DERS_PLANI!K115</f>
        <v>0</v>
      </c>
      <c r="E9" s="66">
        <f>DERS_PLANI!K127</f>
        <v>0</v>
      </c>
      <c r="F9" s="67">
        <f>DERS_PLANI!K139</f>
        <v>0</v>
      </c>
    </row>
    <row r="10" spans="1:6" ht="24" customHeight="1">
      <c r="A10" s="197" t="s">
        <v>728</v>
      </c>
      <c r="B10" s="66">
        <f>DERS_PLANI!K92</f>
        <v>0</v>
      </c>
      <c r="C10" s="66">
        <f>DERS_PLANI!K104</f>
        <v>0</v>
      </c>
      <c r="D10" s="66">
        <f>DERS_PLANI!K116</f>
        <v>0</v>
      </c>
      <c r="E10" s="66">
        <f>DERS_PLANI!K128</f>
        <v>0</v>
      </c>
      <c r="F10" s="67">
        <f>DERS_PLANI!K140</f>
        <v>0</v>
      </c>
    </row>
    <row r="11" spans="1:6" ht="24" customHeight="1">
      <c r="A11" s="198" t="s">
        <v>544</v>
      </c>
      <c r="B11" s="66">
        <f>DERS_PLANI!K93</f>
        <v>0</v>
      </c>
      <c r="C11" s="66">
        <f>DERS_PLANI!K105</f>
        <v>0</v>
      </c>
      <c r="D11" s="66">
        <f>DERS_PLANI!K117</f>
        <v>0</v>
      </c>
      <c r="E11" s="66">
        <f>DERS_PLANI!K129</f>
        <v>0</v>
      </c>
      <c r="F11" s="67">
        <f>DERS_PLANI!K141</f>
        <v>0</v>
      </c>
    </row>
    <row r="12" spans="1:6" ht="24" customHeight="1">
      <c r="A12" s="198" t="s">
        <v>705</v>
      </c>
      <c r="B12" s="66">
        <f>DERS_PLANI!K94</f>
        <v>0</v>
      </c>
      <c r="C12" s="66">
        <f>DERS_PLANI!K106</f>
        <v>0</v>
      </c>
      <c r="D12" s="66">
        <f>DERS_PLANI!K118</f>
        <v>0</v>
      </c>
      <c r="E12" s="66">
        <f>DERS_PLANI!K130</f>
        <v>0</v>
      </c>
      <c r="F12" s="67">
        <f>DERS_PLANI!K142</f>
        <v>0</v>
      </c>
    </row>
    <row r="13" spans="1:6" ht="24" customHeight="1">
      <c r="A13" s="198" t="s">
        <v>703</v>
      </c>
      <c r="B13" s="66">
        <f>DERS_PLANI!K95</f>
        <v>0</v>
      </c>
      <c r="C13" s="66">
        <f>DERS_PLANI!K107</f>
        <v>0</v>
      </c>
      <c r="D13" s="66">
        <f>DERS_PLANI!K119</f>
        <v>0</v>
      </c>
      <c r="E13" s="66">
        <f>DERS_PLANI!K131</f>
        <v>0</v>
      </c>
      <c r="F13" s="67">
        <f>DERS_PLANI!K143</f>
        <v>0</v>
      </c>
    </row>
    <row r="14" spans="1:6" ht="24" customHeight="1">
      <c r="A14" s="198" t="s">
        <v>704</v>
      </c>
      <c r="B14" s="66">
        <f>DERS_PLANI!K96</f>
        <v>0</v>
      </c>
      <c r="C14" s="66">
        <f>DERS_PLANI!K108</f>
        <v>0</v>
      </c>
      <c r="D14" s="66">
        <f>DERS_PLANI!K120</f>
        <v>0</v>
      </c>
      <c r="E14" s="66">
        <f>DERS_PLANI!K132</f>
        <v>0</v>
      </c>
      <c r="F14" s="67">
        <f>DERS_PLANI!K144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F708-435D-4840-9700-5589C4718585}">
  <sheetPr>
    <pageSetUpPr fitToPage="1"/>
  </sheetPr>
  <dimension ref="A1:F14"/>
  <sheetViews>
    <sheetView workbookViewId="0">
      <selection activeCell="D9" sqref="D9"/>
    </sheetView>
  </sheetViews>
  <sheetFormatPr defaultColWidth="8.875" defaultRowHeight="15.95"/>
  <cols>
    <col min="1" max="1" width="12.5" customWidth="1"/>
    <col min="2" max="5" width="25.875" customWidth="1"/>
    <col min="6" max="6" width="44.125" customWidth="1"/>
  </cols>
  <sheetData>
    <row r="1" spans="1:6" ht="43.7" customHeight="1">
      <c r="A1" s="359" t="s">
        <v>743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DERS_PLANI!J85</f>
        <v>0</v>
      </c>
      <c r="C3" s="66">
        <f>DERS_PLANI!J97</f>
        <v>0</v>
      </c>
      <c r="D3" s="66">
        <f>DERS_PLANI!J109</f>
        <v>0</v>
      </c>
      <c r="E3" s="66" t="str">
        <f>DERS_PLANI!J121</f>
        <v>ETI 202 Telafi Dersi</v>
      </c>
      <c r="F3" s="317" t="str">
        <f>DERS_PLANI!J133</f>
        <v>YBS 351 SİMÜLASYON VE MODELLEME
DR. GÜLÇİN ADIYAMAN</v>
      </c>
    </row>
    <row r="4" spans="1:6" ht="24" customHeight="1">
      <c r="A4" s="196" t="s">
        <v>723</v>
      </c>
      <c r="B4" s="66">
        <f>DERS_PLANI!J86</f>
        <v>0</v>
      </c>
      <c r="C4" s="66" t="str">
        <f>DERS_PLANI!J98</f>
        <v xml:space="preserve">ENG 202 - 01 (YBS) </v>
      </c>
      <c r="D4" s="66" t="str">
        <f>DERS_PLANI!J110</f>
        <v>OC 151</v>
      </c>
      <c r="E4" s="66" t="str">
        <f>DERS_PLANI!J122</f>
        <v>ETI 202 Telafi Dersi</v>
      </c>
      <c r="F4" s="317" t="str">
        <f>DERS_PLANI!J134</f>
        <v>YBS 351 SİMÜLASYON VE MODELLEME
DR. GÜLÇİN ADIYAMAN</v>
      </c>
    </row>
    <row r="5" spans="1:6" ht="24" customHeight="1">
      <c r="A5" s="196" t="s">
        <v>724</v>
      </c>
      <c r="B5" s="66">
        <f>DERS_PLANI!J87</f>
        <v>0</v>
      </c>
      <c r="C5" s="66" t="str">
        <f>DERS_PLANI!J99</f>
        <v xml:space="preserve">ENG 202 - 01 (YBS) </v>
      </c>
      <c r="D5" s="66" t="str">
        <f>DERS_PLANI!J111</f>
        <v>OC 152</v>
      </c>
      <c r="E5" s="66" t="str">
        <f>DERS_PLANI!J123</f>
        <v>ETI 202 Telafi Dersi</v>
      </c>
      <c r="F5" s="317" t="str">
        <f>DERS_PLANI!J135</f>
        <v>YBS 351 SİMÜLASYON VE MODELLEME
DR. GÜLÇİN ADIYAMAN</v>
      </c>
    </row>
    <row r="6" spans="1:6" ht="24" customHeight="1">
      <c r="A6" s="196" t="s">
        <v>725</v>
      </c>
      <c r="B6" s="66">
        <f>DERS_PLANI!J88</f>
        <v>0</v>
      </c>
      <c r="C6" s="66" t="str">
        <f>DERS_PLANI!J100</f>
        <v>MIS 132
(Prof. Eren)</v>
      </c>
      <c r="D6" s="66" t="str">
        <f>DERS_PLANI!J112</f>
        <v xml:space="preserve">ENG 202 - 03 (SIYASET BILIMI) </v>
      </c>
      <c r="E6" s="66" t="str">
        <f>DERS_PLANI!J124</f>
        <v>MIS 312
(Dr. Başeğmez)</v>
      </c>
      <c r="F6" s="67">
        <f>DERS_PLANI!J136</f>
        <v>0</v>
      </c>
    </row>
    <row r="7" spans="1:6" ht="24" customHeight="1">
      <c r="A7" s="196" t="s">
        <v>726</v>
      </c>
      <c r="B7" s="66">
        <f>DERS_PLANI!J89</f>
        <v>0</v>
      </c>
      <c r="C7" s="66" t="str">
        <f>DERS_PLANI!J101</f>
        <v>MIS 132
(Prof. Eren)</v>
      </c>
      <c r="D7" s="66" t="str">
        <f>DERS_PLANI!J113</f>
        <v xml:space="preserve">ENG 202 - 03 (SIYASET BILIMI) </v>
      </c>
      <c r="E7" s="66" t="str">
        <f>DERS_PLANI!J125</f>
        <v>MIS 312
(Dr. Başeğmez)</v>
      </c>
      <c r="F7" s="67">
        <f>DERS_PLANI!J137</f>
        <v>0</v>
      </c>
    </row>
    <row r="8" spans="1:6" ht="24" customHeight="1">
      <c r="A8" s="196" t="s">
        <v>530</v>
      </c>
      <c r="B8" s="66" t="str">
        <f>DERS_PLANI!J90</f>
        <v xml:space="preserve">ENG 202 - 07 (TR PSK. ) </v>
      </c>
      <c r="C8" s="66" t="str">
        <f>DERS_PLANI!J102</f>
        <v>MIS 132
(Prof. Eren)</v>
      </c>
      <c r="D8" s="66">
        <f>DERS_PLANI!J114</f>
        <v>0</v>
      </c>
      <c r="E8" s="66" t="str">
        <f>DERS_PLANI!J126</f>
        <v>MIS 312
(Dr. Başeğmez)</v>
      </c>
      <c r="F8" s="67">
        <f>DERS_PLANI!J138</f>
        <v>0</v>
      </c>
    </row>
    <row r="9" spans="1:6" ht="24" customHeight="1">
      <c r="A9" s="196" t="s">
        <v>727</v>
      </c>
      <c r="B9" s="66" t="str">
        <f>DERS_PLANI!J91</f>
        <v xml:space="preserve">ENG 202 - 07 (TR PSK.) </v>
      </c>
      <c r="C9" s="66" t="str">
        <f>DERS_PLANI!J103</f>
        <v>PSİ 455</v>
      </c>
      <c r="D9" s="66">
        <f>DERS_PLANI!J115</f>
        <v>0</v>
      </c>
      <c r="E9" s="66">
        <f>DERS_PLANI!J127</f>
        <v>0</v>
      </c>
      <c r="F9" s="67">
        <f>DERS_PLANI!J139</f>
        <v>0</v>
      </c>
    </row>
    <row r="10" spans="1:6" ht="24" customHeight="1">
      <c r="A10" s="196" t="s">
        <v>728</v>
      </c>
      <c r="B10" s="66">
        <f>DERS_PLANI!J92</f>
        <v>0</v>
      </c>
      <c r="C10" s="66" t="str">
        <f>DERS_PLANI!J104</f>
        <v>PSİ 455</v>
      </c>
      <c r="D10" s="66">
        <f>DERS_PLANI!J116</f>
        <v>0</v>
      </c>
      <c r="E10" s="66">
        <f>DERS_PLANI!J128</f>
        <v>0</v>
      </c>
      <c r="F10" s="67">
        <f>DERS_PLANI!J140</f>
        <v>0</v>
      </c>
    </row>
    <row r="11" spans="1:6" ht="24" customHeight="1">
      <c r="A11" s="196" t="s">
        <v>544</v>
      </c>
      <c r="B11" s="66">
        <f>DERS_PLANI!J93</f>
        <v>0</v>
      </c>
      <c r="C11" s="66" t="str">
        <f>DERS_PLANI!J105</f>
        <v>PSİ 455</v>
      </c>
      <c r="D11" s="66">
        <f>DERS_PLANI!J117</f>
        <v>0</v>
      </c>
      <c r="E11" s="66">
        <f>DERS_PLANI!J129</f>
        <v>0</v>
      </c>
      <c r="F11" s="67">
        <f>DERS_PLANI!J141</f>
        <v>0</v>
      </c>
    </row>
    <row r="12" spans="1:6" ht="24" customHeight="1">
      <c r="A12" s="196" t="s">
        <v>705</v>
      </c>
      <c r="B12" s="66">
        <f>DERS_PLANI!J94</f>
        <v>0</v>
      </c>
      <c r="C12" s="66">
        <f>DERS_PLANI!J106</f>
        <v>0</v>
      </c>
      <c r="D12" s="66">
        <f>DERS_PLANI!J118</f>
        <v>0</v>
      </c>
      <c r="E12" s="66">
        <f>DERS_PLANI!J130</f>
        <v>0</v>
      </c>
      <c r="F12" s="67">
        <f>DERS_PLANI!J142</f>
        <v>0</v>
      </c>
    </row>
    <row r="13" spans="1:6" ht="24" customHeight="1">
      <c r="A13" s="196" t="s">
        <v>703</v>
      </c>
      <c r="B13" s="66">
        <f>DERS_PLANI!J95</f>
        <v>0</v>
      </c>
      <c r="C13" s="66">
        <f>DERS_PLANI!J107</f>
        <v>0</v>
      </c>
      <c r="D13" s="66">
        <f>DERS_PLANI!J119</f>
        <v>0</v>
      </c>
      <c r="E13" s="66">
        <f>DERS_PLANI!J131</f>
        <v>0</v>
      </c>
      <c r="F13" s="67">
        <f>DERS_PLANI!J143</f>
        <v>0</v>
      </c>
    </row>
    <row r="14" spans="1:6" ht="24" customHeight="1">
      <c r="A14" s="196" t="s">
        <v>704</v>
      </c>
      <c r="B14" s="66">
        <f>DERS_PLANI!J96</f>
        <v>0</v>
      </c>
      <c r="C14" s="66">
        <f>DERS_PLANI!J108</f>
        <v>0</v>
      </c>
      <c r="D14" s="66">
        <f>DERS_PLANI!J120</f>
        <v>0</v>
      </c>
      <c r="E14" s="66">
        <f>DERS_PLANI!J132</f>
        <v>0</v>
      </c>
      <c r="F14" s="67">
        <f>DERS_PLANI!J144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F629-584C-4821-8282-06D66A81043C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744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>
        <f>DERS_PLANI!I85</f>
        <v>0</v>
      </c>
      <c r="C3" s="164">
        <f>DERS_PLANI!I97</f>
        <v>0</v>
      </c>
      <c r="D3" s="164">
        <f>DERS_PLANI!I109</f>
        <v>0</v>
      </c>
      <c r="E3" s="164">
        <f>DERS_PLANI!I121</f>
        <v>0</v>
      </c>
      <c r="F3" s="175">
        <f>DERS_PLANI!I133</f>
        <v>0</v>
      </c>
    </row>
    <row r="4" spans="1:6" ht="24" customHeight="1">
      <c r="A4" s="196" t="s">
        <v>723</v>
      </c>
      <c r="B4" s="164" t="str">
        <f>DERS_PLANI!I86</f>
        <v xml:space="preserve">ENG 302 - 09 </v>
      </c>
      <c r="C4" s="164" t="str">
        <f>DERS_PLANI!I98</f>
        <v xml:space="preserve">ENG 202 - 06 (TR PSK. )  </v>
      </c>
      <c r="D4" s="164">
        <f>DERS_PLANI!I110</f>
        <v>0</v>
      </c>
      <c r="E4" s="164">
        <f>DERS_PLANI!I122</f>
        <v>0</v>
      </c>
      <c r="F4" s="175" t="str">
        <f>DERS_PLANI!I134</f>
        <v xml:space="preserve">ENG 202 -05 (TR YBS)  </v>
      </c>
    </row>
    <row r="5" spans="1:6" ht="24" customHeight="1">
      <c r="A5" s="196" t="s">
        <v>724</v>
      </c>
      <c r="B5" s="164" t="str">
        <f>DERS_PLANI!I87</f>
        <v xml:space="preserve">ENG 302 - 09 </v>
      </c>
      <c r="C5" s="164" t="str">
        <f>DERS_PLANI!I99</f>
        <v xml:space="preserve">ENG 202 - 06 ( TR PSK. ) </v>
      </c>
      <c r="D5" s="164">
        <f>DERS_PLANI!I111</f>
        <v>0</v>
      </c>
      <c r="E5" s="164" t="str">
        <f>DERS_PLANI!I123</f>
        <v>MIS 142
(Assoc. Prof. Erdoğan)</v>
      </c>
      <c r="F5" s="175" t="str">
        <f>DERS_PLANI!I135</f>
        <v xml:space="preserve">ENG 202 -05 (TR YBS)  </v>
      </c>
    </row>
    <row r="6" spans="1:6" ht="24" customHeight="1">
      <c r="A6" s="196" t="s">
        <v>725</v>
      </c>
      <c r="B6" s="164" t="str">
        <f>DERS_PLANI!I88</f>
        <v>PSİ 221</v>
      </c>
      <c r="C6" s="164" t="str">
        <f>DERS_PLANI!I100</f>
        <v>PSY 313</v>
      </c>
      <c r="D6" s="164" t="str">
        <f>DERS_PLANI!I112</f>
        <v>PSY 221</v>
      </c>
      <c r="E6" s="164" t="str">
        <f>DERS_PLANI!I124</f>
        <v>MIS 142
(Assoc. Prof. Erdoğan)</v>
      </c>
      <c r="F6" s="175">
        <f>DERS_PLANI!I136</f>
        <v>0</v>
      </c>
    </row>
    <row r="7" spans="1:6" ht="24" customHeight="1">
      <c r="A7" s="196" t="s">
        <v>726</v>
      </c>
      <c r="B7" s="164" t="str">
        <f>DERS_PLANI!I89</f>
        <v>PSİ 221</v>
      </c>
      <c r="C7" s="164" t="str">
        <f>DERS_PLANI!I101</f>
        <v>PSY 313</v>
      </c>
      <c r="D7" s="164" t="str">
        <f>DERS_PLANI!I113</f>
        <v>PSY 221</v>
      </c>
      <c r="E7" s="164" t="str">
        <f>DERS_PLANI!I125</f>
        <v>MIS 142
(Assoc. Prof. Erdoğan)</v>
      </c>
      <c r="F7" s="175">
        <f>DERS_PLANI!I137</f>
        <v>0</v>
      </c>
    </row>
    <row r="8" spans="1:6" ht="24" customHeight="1">
      <c r="A8" s="196" t="s">
        <v>530</v>
      </c>
      <c r="B8" s="164" t="str">
        <f>DERS_PLANI!I90</f>
        <v>PSİ 221</v>
      </c>
      <c r="C8" s="164" t="str">
        <f>DERS_PLANI!I102</f>
        <v>PSY 313</v>
      </c>
      <c r="D8" s="164" t="str">
        <f>DERS_PLANI!I114</f>
        <v>PSY 221</v>
      </c>
      <c r="E8" s="164">
        <f>DERS_PLANI!I126</f>
        <v>0</v>
      </c>
      <c r="F8" s="175" t="str">
        <f>DERS_PLANI!I138</f>
        <v>PSİ 453</v>
      </c>
    </row>
    <row r="9" spans="1:6" ht="24" customHeight="1">
      <c r="A9" s="196" t="s">
        <v>727</v>
      </c>
      <c r="B9" s="164">
        <f>DERS_PLANI!I91</f>
        <v>0</v>
      </c>
      <c r="C9" s="164" t="str">
        <f>DERS_PLANI!I103</f>
        <v>PSİ 455</v>
      </c>
      <c r="D9" s="164" t="str">
        <f>DERS_PLANI!I115</f>
        <v>ENG 302 - 02 (ITBF-YBS)</v>
      </c>
      <c r="E9" s="164" t="str">
        <f>DERS_PLANI!I127</f>
        <v>PSY 229</v>
      </c>
      <c r="F9" s="175" t="str">
        <f>DERS_PLANI!I139</f>
        <v>PSİ 453</v>
      </c>
    </row>
    <row r="10" spans="1:6" ht="24" customHeight="1">
      <c r="A10" s="196" t="s">
        <v>728</v>
      </c>
      <c r="B10" s="164">
        <f>DERS_PLANI!I92</f>
        <v>0</v>
      </c>
      <c r="C10" s="164" t="str">
        <f>DERS_PLANI!I104</f>
        <v>PSİ 455</v>
      </c>
      <c r="D10" s="164" t="str">
        <f>DERS_PLANI!I116</f>
        <v>ENG 302 - 02 (ITBF-YBS)</v>
      </c>
      <c r="E10" s="164" t="str">
        <f>DERS_PLANI!I128</f>
        <v>PSY 229</v>
      </c>
      <c r="F10" s="175" t="str">
        <f>DERS_PLANI!I140</f>
        <v>PSİ 453</v>
      </c>
    </row>
    <row r="11" spans="1:6" ht="24" customHeight="1">
      <c r="A11" s="196" t="s">
        <v>544</v>
      </c>
      <c r="B11" s="164">
        <f>DERS_PLANI!I93</f>
        <v>0</v>
      </c>
      <c r="C11" s="164" t="str">
        <f>DERS_PLANI!I105</f>
        <v>PSİ 455</v>
      </c>
      <c r="D11" s="164">
        <f>DERS_PLANI!I117</f>
        <v>0</v>
      </c>
      <c r="E11" s="164" t="str">
        <f>DERS_PLANI!I129</f>
        <v>PSY 229</v>
      </c>
      <c r="F11" s="175">
        <f>DERS_PLANI!I141</f>
        <v>0</v>
      </c>
    </row>
    <row r="12" spans="1:6" ht="24" customHeight="1">
      <c r="A12" s="196" t="s">
        <v>705</v>
      </c>
      <c r="B12" s="164">
        <f>DERS_PLANI!I94</f>
        <v>0</v>
      </c>
      <c r="C12" s="164">
        <f>DERS_PLANI!I106</f>
        <v>0</v>
      </c>
      <c r="D12" s="164">
        <f>DERS_PLANI!I118</f>
        <v>0</v>
      </c>
      <c r="E12" s="164">
        <f>DERS_PLANI!I130</f>
        <v>0</v>
      </c>
      <c r="F12" s="175">
        <f>DERS_PLANI!I142</f>
        <v>0</v>
      </c>
    </row>
    <row r="13" spans="1:6" ht="24" customHeight="1">
      <c r="A13" s="196" t="s">
        <v>703</v>
      </c>
      <c r="B13" s="164">
        <f>DERS_PLANI!I95</f>
        <v>0</v>
      </c>
      <c r="C13" s="164">
        <f>DERS_PLANI!I107</f>
        <v>0</v>
      </c>
      <c r="D13" s="164">
        <f>DERS_PLANI!I119</f>
        <v>0</v>
      </c>
      <c r="E13" s="164">
        <f>DERS_PLANI!I131</f>
        <v>0</v>
      </c>
      <c r="F13" s="175">
        <f>DERS_PLANI!I143</f>
        <v>0</v>
      </c>
    </row>
    <row r="14" spans="1:6" ht="24" customHeight="1">
      <c r="A14" s="196" t="s">
        <v>704</v>
      </c>
      <c r="B14" s="164">
        <f>DERS_PLANI!I96</f>
        <v>0</v>
      </c>
      <c r="C14" s="164">
        <f>DERS_PLANI!I108</f>
        <v>0</v>
      </c>
      <c r="D14" s="164">
        <f>DERS_PLANI!I120</f>
        <v>0</v>
      </c>
      <c r="E14" s="164">
        <f>DERS_PLANI!I132</f>
        <v>0</v>
      </c>
      <c r="F14" s="175">
        <f>DERS_PLANI!I144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0C28-01F8-4748-BCD3-04BC798EE38C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745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DERS_PLANI!H85</f>
        <v>PSY 453</v>
      </c>
      <c r="C3" s="164" t="str">
        <f>DERS_PLANI!H97</f>
        <v>PSY 453</v>
      </c>
      <c r="D3" s="164" t="str">
        <f>DERS_PLANI!H109</f>
        <v>PSY 455</v>
      </c>
      <c r="E3" s="164" t="str">
        <f>DERS_PLANI!H121</f>
        <v>PSY 484</v>
      </c>
      <c r="F3" s="175" t="str">
        <f>DERS_PLANI!H133</f>
        <v>PSY 322</v>
      </c>
    </row>
    <row r="4" spans="1:6" ht="24" customHeight="1">
      <c r="A4" s="196" t="s">
        <v>723</v>
      </c>
      <c r="B4" s="164" t="str">
        <f>DERS_PLANI!H86</f>
        <v>PSY 453</v>
      </c>
      <c r="C4" s="164" t="str">
        <f>DERS_PLANI!H98</f>
        <v>PSY 453</v>
      </c>
      <c r="D4" s="164" t="str">
        <f>DERS_PLANI!H110</f>
        <v>PSY 455</v>
      </c>
      <c r="E4" s="164" t="str">
        <f>DERS_PLANI!H122</f>
        <v>PSY 484</v>
      </c>
      <c r="F4" s="175" t="str">
        <f>DERS_PLANI!H134</f>
        <v>PSY 322</v>
      </c>
    </row>
    <row r="5" spans="1:6" ht="24" customHeight="1">
      <c r="A5" s="196" t="s">
        <v>724</v>
      </c>
      <c r="B5" s="164" t="str">
        <f>DERS_PLANI!H87</f>
        <v>PSY 453</v>
      </c>
      <c r="C5" s="164" t="str">
        <f>DERS_PLANI!H99</f>
        <v>PSY 453</v>
      </c>
      <c r="D5" s="164" t="str">
        <f>DERS_PLANI!H111</f>
        <v>PSY 455</v>
      </c>
      <c r="E5" s="164" t="str">
        <f>DERS_PLANI!H123</f>
        <v>PSY 484</v>
      </c>
      <c r="F5" s="175" t="str">
        <f>DERS_PLANI!H135</f>
        <v>PSY 322</v>
      </c>
    </row>
    <row r="6" spans="1:6" ht="24" customHeight="1">
      <c r="A6" s="196" t="s">
        <v>725</v>
      </c>
      <c r="B6" s="164" t="str">
        <f>DERS_PLANI!H88</f>
        <v>POLS 264                                                                          (Dr. Balcı)</v>
      </c>
      <c r="C6" s="164" t="str">
        <f>DERS_PLANI!H100</f>
        <v xml:space="preserve">ENG 102 - 03 (ITBF) </v>
      </c>
      <c r="D6" s="164" t="str">
        <f>DERS_PLANI!H112</f>
        <v>PSİ 483</v>
      </c>
      <c r="E6" s="164" t="str">
        <f>DERS_PLANI!H124</f>
        <v>YBS 354 DİJİTAL PAZARLAMA
DR. NESLİHAN KÜNYE POLAT</v>
      </c>
      <c r="F6" s="175">
        <f>DERS_PLANI!H136</f>
        <v>0</v>
      </c>
    </row>
    <row r="7" spans="1:6" ht="24" customHeight="1">
      <c r="A7" s="196" t="s">
        <v>726</v>
      </c>
      <c r="B7" s="164" t="str">
        <f>DERS_PLANI!H89</f>
        <v>POLS 264                                                                          (Dr. Balcı)</v>
      </c>
      <c r="C7" s="164" t="str">
        <f>DERS_PLANI!H101</f>
        <v xml:space="preserve">ENG 102 - 03 (ITBF) </v>
      </c>
      <c r="D7" s="164" t="str">
        <f>DERS_PLANI!H113</f>
        <v>PSİ 483</v>
      </c>
      <c r="E7" s="164" t="str">
        <f>DERS_PLANI!H125</f>
        <v>YBS 354 DİJİTAL PAZARLAMA
DR. NESLİHAN KÜNYE POLAT</v>
      </c>
      <c r="F7" s="175">
        <f>DERS_PLANI!H137</f>
        <v>0</v>
      </c>
    </row>
    <row r="8" spans="1:6" ht="24" customHeight="1">
      <c r="A8" s="196" t="s">
        <v>530</v>
      </c>
      <c r="B8" s="164" t="str">
        <f>DERS_PLANI!H90</f>
        <v>POLS 264                                                                          (Dr. Balcı)</v>
      </c>
      <c r="C8" s="164">
        <f>DERS_PLANI!H102</f>
        <v>0</v>
      </c>
      <c r="D8" s="164" t="str">
        <f>DERS_PLANI!H114</f>
        <v>PSİ 483</v>
      </c>
      <c r="E8" s="164" t="str">
        <f>DERS_PLANI!H126</f>
        <v>YBS 354 DİJİTAL PAZARLAMA
DR. NESLİHAN KÜNYE POLAT</v>
      </c>
      <c r="F8" s="175" t="str">
        <f>DERS_PLANI!H138</f>
        <v xml:space="preserve">ENG 102 - 02 (PSY) </v>
      </c>
    </row>
    <row r="9" spans="1:6" ht="24" customHeight="1">
      <c r="A9" s="196" t="s">
        <v>727</v>
      </c>
      <c r="B9" s="164" t="str">
        <f>DERS_PLANI!H91</f>
        <v>CMM 178</v>
      </c>
      <c r="C9" s="164" t="str">
        <f>DERS_PLANI!H103</f>
        <v>PSY 342</v>
      </c>
      <c r="D9" s="164" t="str">
        <f>DERS_PLANI!H115</f>
        <v>PSİ 102</v>
      </c>
      <c r="E9" s="164">
        <f>DERS_PLANI!H127</f>
        <v>0</v>
      </c>
      <c r="F9" s="175" t="str">
        <f>DERS_PLANI!H139</f>
        <v xml:space="preserve">ENG 102 - 02 ( PSY) </v>
      </c>
    </row>
    <row r="10" spans="1:6" ht="24" customHeight="1">
      <c r="A10" s="196" t="s">
        <v>728</v>
      </c>
      <c r="B10" s="164" t="str">
        <f>DERS_PLANI!H92</f>
        <v>CMM 178</v>
      </c>
      <c r="C10" s="164" t="str">
        <f>DERS_PLANI!H104</f>
        <v>PSY 342</v>
      </c>
      <c r="D10" s="164" t="str">
        <f>DERS_PLANI!H116</f>
        <v>PSİ 102</v>
      </c>
      <c r="E10" s="164">
        <f>DERS_PLANI!H128</f>
        <v>0</v>
      </c>
      <c r="F10" s="175">
        <f>DERS_PLANI!H140</f>
        <v>0</v>
      </c>
    </row>
    <row r="11" spans="1:6" ht="24" customHeight="1">
      <c r="A11" s="196" t="s">
        <v>544</v>
      </c>
      <c r="B11" s="164" t="str">
        <f>DERS_PLANI!H93</f>
        <v>CMM 178</v>
      </c>
      <c r="C11" s="164" t="str">
        <f>DERS_PLANI!H105</f>
        <v>PSY 342</v>
      </c>
      <c r="D11" s="164" t="str">
        <f>DERS_PLANI!H117</f>
        <v>PSİ 102</v>
      </c>
      <c r="E11" s="164">
        <f>DERS_PLANI!H129</f>
        <v>0</v>
      </c>
      <c r="F11" s="175">
        <f>DERS_PLANI!H141</f>
        <v>0</v>
      </c>
    </row>
    <row r="12" spans="1:6" ht="24" customHeight="1">
      <c r="A12" s="196" t="s">
        <v>705</v>
      </c>
      <c r="B12" s="164">
        <f>DERS_PLANI!H94</f>
        <v>0</v>
      </c>
      <c r="C12" s="164">
        <f>DERS_PLANI!H106</f>
        <v>0</v>
      </c>
      <c r="D12" s="164">
        <f>DERS_PLANI!H118</f>
        <v>0</v>
      </c>
      <c r="E12" s="164">
        <f>DERS_PLANI!H130</f>
        <v>0</v>
      </c>
      <c r="F12" s="175">
        <f>DERS_PLANI!H142</f>
        <v>0</v>
      </c>
    </row>
    <row r="13" spans="1:6" ht="24" customHeight="1">
      <c r="A13" s="196" t="s">
        <v>703</v>
      </c>
      <c r="B13" s="164">
        <f>DERS_PLANI!H95</f>
        <v>0</v>
      </c>
      <c r="C13" s="164">
        <f>DERS_PLANI!H107</f>
        <v>0</v>
      </c>
      <c r="D13" s="164">
        <f>DERS_PLANI!H119</f>
        <v>0</v>
      </c>
      <c r="E13" s="164">
        <f>DERS_PLANI!H131</f>
        <v>0</v>
      </c>
      <c r="F13" s="175">
        <f>DERS_PLANI!H143</f>
        <v>0</v>
      </c>
    </row>
    <row r="14" spans="1:6" ht="24" customHeight="1">
      <c r="A14" s="196" t="s">
        <v>704</v>
      </c>
      <c r="B14" s="164">
        <f>DERS_PLANI!H96</f>
        <v>0</v>
      </c>
      <c r="C14" s="164">
        <f>DERS_PLANI!H108</f>
        <v>0</v>
      </c>
      <c r="D14" s="164">
        <f>DERS_PLANI!H120</f>
        <v>0</v>
      </c>
      <c r="E14" s="164">
        <f>DERS_PLANI!H132</f>
        <v>0</v>
      </c>
      <c r="F14" s="175">
        <f>DERS_PLANI!H144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8" fitToHeight="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795A-8ECA-41FD-B501-E4B714BEFD41}">
  <sheetPr>
    <pageSetUpPr fitToPage="1"/>
  </sheetPr>
  <dimension ref="A1:F14"/>
  <sheetViews>
    <sheetView topLeftCell="A5" workbookViewId="0">
      <selection activeCell="B3" sqref="B3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66" t="s">
        <v>746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DERS_PLANI!G85</f>
        <v>0</v>
      </c>
      <c r="C3" s="66">
        <f>DERS_PLANI!G97</f>
        <v>0</v>
      </c>
      <c r="D3" s="66">
        <f>DERS_PLANI!G109</f>
        <v>0</v>
      </c>
      <c r="E3" s="66">
        <f>DERS_PLANI!G121</f>
        <v>0</v>
      </c>
      <c r="F3" s="67">
        <f>DERS_PLANI!G133</f>
        <v>0</v>
      </c>
    </row>
    <row r="4" spans="1:6" ht="24" customHeight="1">
      <c r="A4" s="196" t="s">
        <v>723</v>
      </c>
      <c r="B4" s="66">
        <f>DERS_PLANI!G86</f>
        <v>0</v>
      </c>
      <c r="C4" s="66">
        <f>DERS_PLANI!G98</f>
        <v>0</v>
      </c>
      <c r="D4" s="66">
        <f>DERS_PLANI!G110</f>
        <v>0</v>
      </c>
      <c r="E4" s="66">
        <f>DERS_PLANI!G122</f>
        <v>0</v>
      </c>
      <c r="F4" s="67">
        <f>DERS_PLANI!G134</f>
        <v>0</v>
      </c>
    </row>
    <row r="5" spans="1:6" ht="24" customHeight="1">
      <c r="A5" s="196" t="s">
        <v>724</v>
      </c>
      <c r="B5" s="66">
        <f>DERS_PLANI!G87</f>
        <v>0</v>
      </c>
      <c r="C5" s="66">
        <f>DERS_PLANI!G99</f>
        <v>0</v>
      </c>
      <c r="D5" s="66">
        <f>DERS_PLANI!G111</f>
        <v>0</v>
      </c>
      <c r="E5" s="66">
        <f>DERS_PLANI!G123</f>
        <v>0</v>
      </c>
      <c r="F5" s="67">
        <f>DERS_PLANI!G135</f>
        <v>0</v>
      </c>
    </row>
    <row r="6" spans="1:6" ht="24" customHeight="1">
      <c r="A6" s="196" t="s">
        <v>725</v>
      </c>
      <c r="B6" s="66">
        <f>DERS_PLANI!G88</f>
        <v>0</v>
      </c>
      <c r="C6" s="66">
        <f>DERS_PLANI!G100</f>
        <v>0</v>
      </c>
      <c r="D6" s="66">
        <f>DERS_PLANI!G112</f>
        <v>0</v>
      </c>
      <c r="E6" s="66">
        <f>DERS_PLANI!G124</f>
        <v>0</v>
      </c>
      <c r="F6" s="67">
        <f>DERS_PLANI!G136</f>
        <v>0</v>
      </c>
    </row>
    <row r="7" spans="1:6" ht="24" customHeight="1">
      <c r="A7" s="196" t="s">
        <v>726</v>
      </c>
      <c r="B7" s="66">
        <f>DERS_PLANI!G89</f>
        <v>0</v>
      </c>
      <c r="C7" s="66">
        <f>DERS_PLANI!G101</f>
        <v>0</v>
      </c>
      <c r="D7" s="66">
        <f>DERS_PLANI!G113</f>
        <v>0</v>
      </c>
      <c r="E7" s="66">
        <f>DERS_PLANI!G125</f>
        <v>0</v>
      </c>
      <c r="F7" s="67">
        <f>DERS_PLANI!G137</f>
        <v>0</v>
      </c>
    </row>
    <row r="8" spans="1:6" ht="24" customHeight="1">
      <c r="A8" s="196" t="s">
        <v>530</v>
      </c>
      <c r="B8" s="66">
        <f>DERS_PLANI!G90</f>
        <v>0</v>
      </c>
      <c r="C8" s="66">
        <f>DERS_PLANI!G102</f>
        <v>0</v>
      </c>
      <c r="D8" s="66">
        <f>DERS_PLANI!G114</f>
        <v>0</v>
      </c>
      <c r="E8" s="66">
        <f>DERS_PLANI!G126</f>
        <v>0</v>
      </c>
      <c r="F8" s="67">
        <f>DERS_PLANI!G138</f>
        <v>0</v>
      </c>
    </row>
    <row r="9" spans="1:6" ht="24" customHeight="1">
      <c r="A9" s="196" t="s">
        <v>727</v>
      </c>
      <c r="B9" s="66">
        <f>DERS_PLANI!G91</f>
        <v>0</v>
      </c>
      <c r="C9" s="66">
        <f>DERS_PLANI!G103</f>
        <v>0</v>
      </c>
      <c r="D9" s="66">
        <f>DERS_PLANI!G115</f>
        <v>0</v>
      </c>
      <c r="E9" s="66">
        <f>DERS_PLANI!G127</f>
        <v>0</v>
      </c>
      <c r="F9" s="67">
        <f>DERS_PLANI!G139</f>
        <v>0</v>
      </c>
    </row>
    <row r="10" spans="1:6" ht="24" customHeight="1">
      <c r="A10" s="196" t="s">
        <v>728</v>
      </c>
      <c r="B10" s="66">
        <f>DERS_PLANI!G92</f>
        <v>0</v>
      </c>
      <c r="C10" s="66">
        <f>DERS_PLANI!G104</f>
        <v>0</v>
      </c>
      <c r="D10" s="66">
        <f>DERS_PLANI!G116</f>
        <v>0</v>
      </c>
      <c r="E10" s="66">
        <f>DERS_PLANI!G128</f>
        <v>0</v>
      </c>
      <c r="F10" s="67">
        <f>DERS_PLANI!G140</f>
        <v>0</v>
      </c>
    </row>
    <row r="11" spans="1:6" ht="24" customHeight="1">
      <c r="A11" s="196" t="s">
        <v>544</v>
      </c>
      <c r="B11" s="66">
        <f>DERS_PLANI!G93</f>
        <v>0</v>
      </c>
      <c r="C11" s="66">
        <f>DERS_PLANI!G105</f>
        <v>0</v>
      </c>
      <c r="D11" s="66">
        <f>DERS_PLANI!G117</f>
        <v>0</v>
      </c>
      <c r="E11" s="66">
        <f>DERS_PLANI!G129</f>
        <v>0</v>
      </c>
      <c r="F11" s="67">
        <f>DERS_PLANI!G141</f>
        <v>0</v>
      </c>
    </row>
    <row r="12" spans="1:6" ht="24" customHeight="1">
      <c r="A12" s="196" t="s">
        <v>705</v>
      </c>
      <c r="B12" s="66">
        <f>DERS_PLANI!G94</f>
        <v>0</v>
      </c>
      <c r="C12" s="66">
        <f>DERS_PLANI!G106</f>
        <v>0</v>
      </c>
      <c r="D12" s="66">
        <f>DERS_PLANI!G118</f>
        <v>0</v>
      </c>
      <c r="E12" s="66">
        <f>DERS_PLANI!G130</f>
        <v>0</v>
      </c>
      <c r="F12" s="67">
        <f>DERS_PLANI!G142</f>
        <v>0</v>
      </c>
    </row>
    <row r="13" spans="1:6" ht="24" customHeight="1">
      <c r="A13" s="196" t="s">
        <v>703</v>
      </c>
      <c r="B13" s="66">
        <f>DERS_PLANI!G95</f>
        <v>0</v>
      </c>
      <c r="C13" s="66">
        <f>DERS_PLANI!G107</f>
        <v>0</v>
      </c>
      <c r="D13" s="66">
        <f>DERS_PLANI!G119</f>
        <v>0</v>
      </c>
      <c r="E13" s="66">
        <f>DERS_PLANI!G131</f>
        <v>0</v>
      </c>
      <c r="F13" s="67">
        <f>DERS_PLANI!G143</f>
        <v>0</v>
      </c>
    </row>
    <row r="14" spans="1:6" ht="24" customHeight="1">
      <c r="A14" s="196" t="s">
        <v>704</v>
      </c>
      <c r="B14" s="66">
        <f>DERS_PLANI!G96</f>
        <v>0</v>
      </c>
      <c r="C14" s="66">
        <f>DERS_PLANI!G108</f>
        <v>0</v>
      </c>
      <c r="D14" s="66">
        <f>DERS_PLANI!G120</f>
        <v>0</v>
      </c>
      <c r="E14" s="66">
        <f>DERS_PLANI!G132</f>
        <v>0</v>
      </c>
      <c r="F14" s="67">
        <f>DERS_PLANI!G144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4730-22EE-4F49-B20D-9B72861A5407}">
  <sheetPr>
    <pageSetUpPr fitToPage="1"/>
  </sheetPr>
  <dimension ref="A1:F14"/>
  <sheetViews>
    <sheetView workbookViewId="0">
      <selection activeCell="D7" sqref="D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65" t="s">
        <v>747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DERS_PLANI!F85</f>
        <v>0</v>
      </c>
      <c r="C3" s="66">
        <f>DERS_PLANI!F97</f>
        <v>0</v>
      </c>
      <c r="D3" s="66">
        <f>DERS_PLANI!F109</f>
        <v>0</v>
      </c>
      <c r="E3" s="66">
        <f>DERS_PLANI!F121</f>
        <v>0</v>
      </c>
      <c r="F3" s="67">
        <f>DERS_PLANI!F133</f>
        <v>0</v>
      </c>
    </row>
    <row r="4" spans="1:6" ht="24" customHeight="1">
      <c r="A4" s="196" t="s">
        <v>723</v>
      </c>
      <c r="B4" s="66">
        <f>DERS_PLANI!F86</f>
        <v>0</v>
      </c>
      <c r="C4" s="66">
        <f>DERS_PLANI!F98</f>
        <v>0</v>
      </c>
      <c r="D4" s="66">
        <f>DERS_PLANI!F110</f>
        <v>0</v>
      </c>
      <c r="E4" s="66">
        <f>DERS_PLANI!F122</f>
        <v>0</v>
      </c>
      <c r="F4" s="67">
        <f>DERS_PLANI!F134</f>
        <v>0</v>
      </c>
    </row>
    <row r="5" spans="1:6" ht="24" customHeight="1">
      <c r="A5" s="196" t="s">
        <v>724</v>
      </c>
      <c r="B5" s="66">
        <f>DERS_PLANI!F87</f>
        <v>0</v>
      </c>
      <c r="C5" s="66">
        <f>DERS_PLANI!F99</f>
        <v>0</v>
      </c>
      <c r="D5" s="66">
        <f>DERS_PLANI!F111</f>
        <v>0</v>
      </c>
      <c r="E5" s="66">
        <f>DERS_PLANI!F123</f>
        <v>0</v>
      </c>
      <c r="F5" s="67">
        <f>DERS_PLANI!F135</f>
        <v>0</v>
      </c>
    </row>
    <row r="6" spans="1:6" ht="24" customHeight="1">
      <c r="A6" s="196" t="s">
        <v>725</v>
      </c>
      <c r="B6" s="66">
        <f>DERS_PLANI!F88</f>
        <v>0</v>
      </c>
      <c r="C6" s="66">
        <f>DERS_PLANI!F100</f>
        <v>0</v>
      </c>
      <c r="D6" s="66" t="str">
        <f>DERS_PLANI!F112</f>
        <v xml:space="preserve">NMC 206 </v>
      </c>
      <c r="E6" s="66">
        <f>DERS_PLANI!F124</f>
        <v>0</v>
      </c>
      <c r="F6" s="67">
        <f>DERS_PLANI!F136</f>
        <v>0</v>
      </c>
    </row>
    <row r="7" spans="1:6" ht="24" customHeight="1">
      <c r="A7" s="196" t="s">
        <v>726</v>
      </c>
      <c r="B7" s="66">
        <f>DERS_PLANI!F89</f>
        <v>0</v>
      </c>
      <c r="C7" s="66">
        <f>DERS_PLANI!F101</f>
        <v>0</v>
      </c>
      <c r="D7" s="66" t="str">
        <f>DERS_PLANI!F113</f>
        <v xml:space="preserve">NMC 206 </v>
      </c>
      <c r="E7" s="66">
        <f>DERS_PLANI!F125</f>
        <v>0</v>
      </c>
      <c r="F7" s="67">
        <f>DERS_PLANI!F137</f>
        <v>0</v>
      </c>
    </row>
    <row r="8" spans="1:6" ht="24" customHeight="1">
      <c r="A8" s="196" t="s">
        <v>530</v>
      </c>
      <c r="B8" s="66" t="str">
        <f>DERS_PLANI!F90</f>
        <v>FAD 464</v>
      </c>
      <c r="C8" s="66">
        <f>DERS_PLANI!F102</f>
        <v>0</v>
      </c>
      <c r="D8" s="66" t="str">
        <f>DERS_PLANI!F114</f>
        <v xml:space="preserve">NMC 206 </v>
      </c>
      <c r="E8" s="66" t="str">
        <f>DERS_PLANI!F126</f>
        <v xml:space="preserve">NMC 204 </v>
      </c>
      <c r="F8" s="67">
        <f>DERS_PLANI!F138</f>
        <v>0</v>
      </c>
    </row>
    <row r="9" spans="1:6" ht="24" customHeight="1">
      <c r="A9" s="196" t="s">
        <v>727</v>
      </c>
      <c r="B9" s="66" t="str">
        <f>DERS_PLANI!F91</f>
        <v>FAD 464</v>
      </c>
      <c r="C9" s="66">
        <f>DERS_PLANI!F103</f>
        <v>0</v>
      </c>
      <c r="D9" s="66" t="str">
        <f>DERS_PLANI!F115</f>
        <v xml:space="preserve">FAD 106 </v>
      </c>
      <c r="E9" s="66" t="str">
        <f>DERS_PLANI!F127</f>
        <v xml:space="preserve">NMC 204 </v>
      </c>
      <c r="F9" s="67">
        <f>DERS_PLANI!F139</f>
        <v>0</v>
      </c>
    </row>
    <row r="10" spans="1:6" ht="24" customHeight="1">
      <c r="A10" s="196" t="s">
        <v>728</v>
      </c>
      <c r="B10" s="66" t="str">
        <f>DERS_PLANI!F92</f>
        <v>FAD 464</v>
      </c>
      <c r="C10" s="66">
        <f>DERS_PLANI!F104</f>
        <v>0</v>
      </c>
      <c r="D10" s="66" t="str">
        <f>DERS_PLANI!F116</f>
        <v xml:space="preserve">FAD 106 </v>
      </c>
      <c r="E10" s="66" t="str">
        <f>DERS_PLANI!F128</f>
        <v xml:space="preserve">NMC 204 </v>
      </c>
      <c r="F10" s="67">
        <f>DERS_PLANI!F140</f>
        <v>0</v>
      </c>
    </row>
    <row r="11" spans="1:6" ht="24" customHeight="1">
      <c r="A11" s="196" t="s">
        <v>544</v>
      </c>
      <c r="B11" s="66">
        <f>DERS_PLANI!F93</f>
        <v>0</v>
      </c>
      <c r="C11" s="66">
        <f>DERS_PLANI!F105</f>
        <v>0</v>
      </c>
      <c r="D11" s="66" t="str">
        <f>DERS_PLANI!F117</f>
        <v xml:space="preserve">FAD 106 </v>
      </c>
      <c r="E11" s="66">
        <f>DERS_PLANI!F129</f>
        <v>0</v>
      </c>
      <c r="F11" s="67">
        <f>DERS_PLANI!F141</f>
        <v>0</v>
      </c>
    </row>
    <row r="12" spans="1:6" ht="24" customHeight="1">
      <c r="A12" s="196" t="s">
        <v>705</v>
      </c>
      <c r="B12" s="66">
        <f>DERS_PLANI!F94</f>
        <v>0</v>
      </c>
      <c r="C12" s="66">
        <f>DERS_PLANI!F106</f>
        <v>0</v>
      </c>
      <c r="D12" s="66">
        <f>DERS_PLANI!F118</f>
        <v>0</v>
      </c>
      <c r="E12" s="66">
        <f>DERS_PLANI!F130</f>
        <v>0</v>
      </c>
      <c r="F12" s="67">
        <f>DERS_PLANI!F142</f>
        <v>0</v>
      </c>
    </row>
    <row r="13" spans="1:6" ht="24" customHeight="1">
      <c r="A13" s="196" t="s">
        <v>703</v>
      </c>
      <c r="B13" s="66">
        <f>DERS_PLANI!F95</f>
        <v>0</v>
      </c>
      <c r="C13" s="66">
        <f>DERS_PLANI!F107</f>
        <v>0</v>
      </c>
      <c r="D13" s="66">
        <f>DERS_PLANI!F119</f>
        <v>0</v>
      </c>
      <c r="E13" s="66">
        <f>DERS_PLANI!F131</f>
        <v>0</v>
      </c>
      <c r="F13" s="67">
        <f>DERS_PLANI!F143</f>
        <v>0</v>
      </c>
    </row>
    <row r="14" spans="1:6" ht="24" customHeight="1">
      <c r="A14" s="196" t="s">
        <v>704</v>
      </c>
      <c r="B14" s="66">
        <f>DERS_PLANI!F96</f>
        <v>0</v>
      </c>
      <c r="C14" s="66">
        <f>DERS_PLANI!F108</f>
        <v>0</v>
      </c>
      <c r="D14" s="66">
        <f>DERS_PLANI!F120</f>
        <v>0</v>
      </c>
      <c r="E14" s="66">
        <f>DERS_PLANI!F132</f>
        <v>0</v>
      </c>
      <c r="F14" s="67">
        <f>DERS_PLANI!F144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D746-592D-44B6-82D7-2EBC7F520BDA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62" t="s">
        <v>748</v>
      </c>
      <c r="B1" s="363"/>
      <c r="C1" s="363"/>
      <c r="D1" s="363"/>
      <c r="E1" s="363"/>
      <c r="F1" s="364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DERS_PLANI!E85</f>
        <v>0</v>
      </c>
      <c r="C3" s="66" t="str">
        <f>DERS_PLANI!E97</f>
        <v>HUK414</v>
      </c>
      <c r="D3" s="66" t="str">
        <f>DERS_PLANI!E109</f>
        <v>HUK114</v>
      </c>
      <c r="E3" s="66">
        <f>DERS_PLANI!E121</f>
        <v>0</v>
      </c>
      <c r="F3" s="67">
        <f>DERS_PLANI!E133</f>
        <v>0</v>
      </c>
    </row>
    <row r="4" spans="1:6" ht="24" customHeight="1">
      <c r="A4" s="196" t="s">
        <v>723</v>
      </c>
      <c r="B4" s="66">
        <f>DERS_PLANI!E86</f>
        <v>0</v>
      </c>
      <c r="C4" s="66" t="str">
        <f>DERS_PLANI!E98</f>
        <v>HUK414</v>
      </c>
      <c r="D4" s="66" t="str">
        <f>DERS_PLANI!E110</f>
        <v>HUK114</v>
      </c>
      <c r="E4" s="66">
        <f>DERS_PLANI!E122</f>
        <v>0</v>
      </c>
      <c r="F4" s="67">
        <f>DERS_PLANI!E134</f>
        <v>0</v>
      </c>
    </row>
    <row r="5" spans="1:6" ht="24" customHeight="1">
      <c r="A5" s="196" t="s">
        <v>724</v>
      </c>
      <c r="B5" s="66">
        <f>DERS_PLANI!E87</f>
        <v>0</v>
      </c>
      <c r="C5" s="66" t="str">
        <f>DERS_PLANI!E99</f>
        <v>HUK414</v>
      </c>
      <c r="D5" s="66" t="str">
        <f>DERS_PLANI!E111</f>
        <v>HUK114</v>
      </c>
      <c r="E5" s="66">
        <f>DERS_PLANI!E123</f>
        <v>0</v>
      </c>
      <c r="F5" s="67">
        <f>DERS_PLANI!E135</f>
        <v>0</v>
      </c>
    </row>
    <row r="6" spans="1:6" ht="24" customHeight="1">
      <c r="A6" s="196" t="s">
        <v>725</v>
      </c>
      <c r="B6" s="66">
        <f>DERS_PLANI!E88</f>
        <v>0</v>
      </c>
      <c r="C6" s="66">
        <f>DERS_PLANI!E100</f>
        <v>0</v>
      </c>
      <c r="D6" s="66">
        <f>DERS_PLANI!E112</f>
        <v>0</v>
      </c>
      <c r="E6" s="66">
        <f>DERS_PLANI!E124</f>
        <v>0</v>
      </c>
      <c r="F6" s="67">
        <f>DERS_PLANI!E136</f>
        <v>0</v>
      </c>
    </row>
    <row r="7" spans="1:6" ht="24" customHeight="1">
      <c r="A7" s="196" t="s">
        <v>726</v>
      </c>
      <c r="B7" s="66">
        <f>DERS_PLANI!E89</f>
        <v>0</v>
      </c>
      <c r="C7" s="66" t="str">
        <f>DERS_PLANI!E101</f>
        <v>HUK404</v>
      </c>
      <c r="D7" s="66" t="str">
        <f>DERS_PLANI!E113</f>
        <v>HUK412</v>
      </c>
      <c r="E7" s="66" t="str">
        <f>DERS_PLANI!E125</f>
        <v>SEC306</v>
      </c>
      <c r="F7" s="67">
        <f>DERS_PLANI!E137</f>
        <v>0</v>
      </c>
    </row>
    <row r="8" spans="1:6" ht="24" customHeight="1">
      <c r="A8" s="196" t="s">
        <v>530</v>
      </c>
      <c r="B8" s="66">
        <f>DERS_PLANI!E90</f>
        <v>0</v>
      </c>
      <c r="C8" s="66" t="str">
        <f>DERS_PLANI!E102</f>
        <v>HUK404</v>
      </c>
      <c r="D8" s="66" t="str">
        <f>DERS_PLANI!E114</f>
        <v>HUK412</v>
      </c>
      <c r="E8" s="66" t="str">
        <f>DERS_PLANI!E126</f>
        <v>SEC306</v>
      </c>
      <c r="F8" s="67">
        <f>DERS_PLANI!E138</f>
        <v>0</v>
      </c>
    </row>
    <row r="9" spans="1:6" ht="24" customHeight="1">
      <c r="A9" s="196" t="s">
        <v>727</v>
      </c>
      <c r="B9" s="66">
        <f>DERS_PLANI!E91</f>
        <v>0</v>
      </c>
      <c r="C9" s="66" t="str">
        <f>DERS_PLANI!E103</f>
        <v>HUK404</v>
      </c>
      <c r="D9" s="66" t="str">
        <f>DERS_PLANI!E115</f>
        <v>HUK412</v>
      </c>
      <c r="E9" s="66" t="str">
        <f>DERS_PLANI!E127</f>
        <v>SEC319</v>
      </c>
      <c r="F9" s="67">
        <f>DERS_PLANI!E139</f>
        <v>0</v>
      </c>
    </row>
    <row r="10" spans="1:6" ht="24" customHeight="1">
      <c r="A10" s="196" t="s">
        <v>728</v>
      </c>
      <c r="B10" s="66">
        <f>DERS_PLANI!E92</f>
        <v>0</v>
      </c>
      <c r="C10" s="66">
        <f>DERS_PLANI!E104</f>
        <v>0</v>
      </c>
      <c r="D10" s="66">
        <f>DERS_PLANI!E116</f>
        <v>0</v>
      </c>
      <c r="E10" s="66" t="str">
        <f>DERS_PLANI!E128</f>
        <v>SEC319</v>
      </c>
      <c r="F10" s="67">
        <f>DERS_PLANI!E140</f>
        <v>0</v>
      </c>
    </row>
    <row r="11" spans="1:6" ht="24" customHeight="1">
      <c r="A11" s="196" t="s">
        <v>544</v>
      </c>
      <c r="B11" s="66">
        <f>DERS_PLANI!E93</f>
        <v>0</v>
      </c>
      <c r="C11" s="66">
        <f>DERS_PLANI!E105</f>
        <v>0</v>
      </c>
      <c r="D11" s="66">
        <f>DERS_PLANI!E117</f>
        <v>0</v>
      </c>
      <c r="E11" s="66">
        <f>DERS_PLANI!E129</f>
        <v>0</v>
      </c>
      <c r="F11" s="67">
        <f>DERS_PLANI!E141</f>
        <v>0</v>
      </c>
    </row>
    <row r="12" spans="1:6" ht="24" customHeight="1">
      <c r="A12" s="196" t="s">
        <v>705</v>
      </c>
      <c r="B12" s="66">
        <f>DERS_PLANI!E94</f>
        <v>0</v>
      </c>
      <c r="C12" s="66">
        <f>DERS_PLANI!E106</f>
        <v>0</v>
      </c>
      <c r="D12" s="66">
        <f>DERS_PLANI!E118</f>
        <v>0</v>
      </c>
      <c r="E12" s="66">
        <f>DERS_PLANI!E130</f>
        <v>0</v>
      </c>
      <c r="F12" s="67">
        <f>DERS_PLANI!E142</f>
        <v>0</v>
      </c>
    </row>
    <row r="13" spans="1:6" ht="24" customHeight="1">
      <c r="A13" s="196" t="s">
        <v>703</v>
      </c>
      <c r="B13" s="66">
        <f>DERS_PLANI!E95</f>
        <v>0</v>
      </c>
      <c r="C13" s="66">
        <f>DERS_PLANI!E107</f>
        <v>0</v>
      </c>
      <c r="D13" s="66">
        <f>DERS_PLANI!E119</f>
        <v>0</v>
      </c>
      <c r="E13" s="66">
        <f>DERS_PLANI!E131</f>
        <v>0</v>
      </c>
      <c r="F13" s="67">
        <f>DERS_PLANI!E143</f>
        <v>0</v>
      </c>
    </row>
    <row r="14" spans="1:6" ht="24" customHeight="1">
      <c r="A14" s="196" t="s">
        <v>704</v>
      </c>
      <c r="B14" s="66">
        <f>DERS_PLANI!E96</f>
        <v>0</v>
      </c>
      <c r="C14" s="66">
        <f>DERS_PLANI!E108</f>
        <v>0</v>
      </c>
      <c r="D14" s="66">
        <f>DERS_PLANI!E120</f>
        <v>0</v>
      </c>
      <c r="E14" s="66">
        <f>DERS_PLANI!E132</f>
        <v>0</v>
      </c>
      <c r="F14" s="67">
        <f>DERS_PLANI!E144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B2A8-1818-4E4B-9DDA-98F994C58087}">
  <sheetPr>
    <pageSetUpPr fitToPage="1"/>
  </sheetPr>
  <dimension ref="A1:F14"/>
  <sheetViews>
    <sheetView workbookViewId="0">
      <selection activeCell="D8" sqref="D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749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34">
        <f>DERS_PLANI!T8</f>
        <v>0</v>
      </c>
      <c r="C3" s="318" t="str">
        <f>DERS_PLANI!T20</f>
        <v>MATH 102 (Teorik) - Sec 1 (Osman Tuncay Başkaya)</v>
      </c>
      <c r="D3" s="134">
        <f>DERS_PLANI!T32</f>
        <v>0</v>
      </c>
      <c r="E3" s="318" t="str">
        <f>DERS_PLANI!T44</f>
        <v>MATH 102 (Teorik) - Sec 2(Osman Tuncay Başkaya)</v>
      </c>
      <c r="F3" s="317" t="str">
        <f>DERS_PLANI!T56</f>
        <v>MATH 102 (Teorik) - Sec 3 (Mustafa Akkaya)</v>
      </c>
    </row>
    <row r="4" spans="1:6" ht="24" customHeight="1">
      <c r="A4" s="196" t="s">
        <v>723</v>
      </c>
      <c r="B4" s="318" t="str">
        <f>DERS_PLANI!T9</f>
        <v>MATH 101 (Teorik) - 
Sec 1 (Mustafa Akkaya)</v>
      </c>
      <c r="C4" s="318" t="str">
        <f>DERS_PLANI!T21</f>
        <v>MATH 102 (Teorik) - Sec 1 (Osman Tuncay Başkaya)</v>
      </c>
      <c r="D4" s="134">
        <f>DERS_PLANI!T33</f>
        <v>0</v>
      </c>
      <c r="E4" s="318" t="str">
        <f>DERS_PLANI!T45</f>
        <v>MATH 102 (Teorik) - Sec 2(Osman Tuncay Başkaya)</v>
      </c>
      <c r="F4" s="317" t="str">
        <f>DERS_PLANI!T57</f>
        <v>MATH 102 (Teorik) - Sec 3 (Mustafa Akkaya)</v>
      </c>
    </row>
    <row r="5" spans="1:6" ht="24" customHeight="1">
      <c r="A5" s="196" t="s">
        <v>724</v>
      </c>
      <c r="B5" s="318" t="str">
        <f>DERS_PLANI!T10</f>
        <v>MATH 101 (Teorik) - 
Sec 1 (Mustafa Akkaya)</v>
      </c>
      <c r="C5" s="134">
        <f>DERS_PLANI!T22</f>
        <v>0</v>
      </c>
      <c r="D5" s="134">
        <f>DERS_PLANI!T34</f>
        <v>0</v>
      </c>
      <c r="E5" s="134">
        <f>DERS_PLANI!T46</f>
        <v>0</v>
      </c>
      <c r="F5" s="67">
        <f>DERS_PLANI!T58</f>
        <v>0</v>
      </c>
    </row>
    <row r="6" spans="1:6" ht="24" customHeight="1">
      <c r="A6" s="196" t="s">
        <v>725</v>
      </c>
      <c r="B6" s="134" t="str">
        <f>DERS_PLANI!T11</f>
        <v>Protokol Eğitimi</v>
      </c>
      <c r="C6" s="318" t="str">
        <f>DERS_PLANI!T23</f>
        <v>PHY 102 (Teorik) - Sec 3(Vedat Tanrıverdi)</v>
      </c>
      <c r="D6" s="134">
        <f>DERS_PLANI!T35</f>
        <v>0</v>
      </c>
      <c r="E6" s="318" t="str">
        <f>DERS_PLANI!T47</f>
        <v>PHY 102 (Teorik) - Sec 1(Vedat Tanrıverdi)</v>
      </c>
      <c r="F6" s="67">
        <f>DERS_PLANI!T59</f>
        <v>0</v>
      </c>
    </row>
    <row r="7" spans="1:6" ht="24" customHeight="1">
      <c r="A7" s="196" t="s">
        <v>726</v>
      </c>
      <c r="B7" s="134" t="str">
        <f>DERS_PLANI!T12</f>
        <v>Protokol Eğitimi</v>
      </c>
      <c r="C7" s="318" t="str">
        <f>DERS_PLANI!T24</f>
        <v>PHY 102 (Teorik) - Sec 3(Vedat Tanrıverdi)</v>
      </c>
      <c r="D7" s="318" t="str">
        <f>DERS_PLANI!T36</f>
        <v>MATH 101 (Teorik) - Sec 1(Mustafa Akkaya)</v>
      </c>
      <c r="E7" s="318" t="str">
        <f>DERS_PLANI!T48</f>
        <v>PHY 102 (Teorik) - Sec 1(Vedat Tanrıverdi)</v>
      </c>
      <c r="F7" s="67">
        <f>DERS_PLANI!T60</f>
        <v>0</v>
      </c>
    </row>
    <row r="8" spans="1:6" ht="24" customHeight="1">
      <c r="A8" s="196" t="s">
        <v>530</v>
      </c>
      <c r="B8" s="134" t="str">
        <f>DERS_PLANI!T13</f>
        <v>Protokol Eğitimi</v>
      </c>
      <c r="C8" s="318" t="str">
        <f>DERS_PLANI!T25</f>
        <v>PHY 102 (Teorik) - Sec 3(Vedat Tanrıverdi)</v>
      </c>
      <c r="D8" s="318" t="str">
        <f>DERS_PLANI!T37</f>
        <v>MATH 101 (Teorik) - Sec 1(Mustafa Akkaya)</v>
      </c>
      <c r="E8" s="318" t="str">
        <f>DERS_PLANI!T49</f>
        <v>PHY 102 (Teorik) - Sec 1(Vedat Tanrıverdi)</v>
      </c>
      <c r="F8" s="67">
        <f>DERS_PLANI!T61</f>
        <v>0</v>
      </c>
    </row>
    <row r="9" spans="1:6" ht="24" customHeight="1">
      <c r="A9" s="196" t="s">
        <v>727</v>
      </c>
      <c r="B9" s="134" t="str">
        <f>DERS_PLANI!T14</f>
        <v>Protokol Eğitimi</v>
      </c>
      <c r="C9" s="318" t="str">
        <f>DERS_PLANI!T26</f>
        <v>MATH 102 (Teorik) - Sec 2 (Osman Tuncay Başkaya)</v>
      </c>
      <c r="D9" s="318" t="str">
        <f>DERS_PLANI!T38</f>
        <v xml:space="preserve">MYO - IHA102	İTKİ SİSTEMİ SEÇİMİ VE TASARIMI </v>
      </c>
      <c r="E9" s="318" t="str">
        <f>DERS_PLANI!T50</f>
        <v>MATH 102 (Teorik) - Sec 1(Osman Tuncay Başkaya)</v>
      </c>
      <c r="F9" s="317" t="str">
        <f>DERS_PLANI!T62</f>
        <v>PHY 102 (Teorik) - Sec 2(Vedat Tanrıverdi)</v>
      </c>
    </row>
    <row r="10" spans="1:6" ht="24" customHeight="1">
      <c r="A10" s="196" t="s">
        <v>728</v>
      </c>
      <c r="B10" s="318" t="str">
        <f>DERS_PLANI!T15</f>
        <v>MATH 102 (Teorik) - 
Sec 3 (Mustafa Akkaya)</v>
      </c>
      <c r="C10" s="318" t="str">
        <f>DERS_PLANI!T27</f>
        <v>MATH 102 (Teorik) - Sec 2 (Osman Tuncay Başkaya)</v>
      </c>
      <c r="D10" s="318" t="str">
        <f>DERS_PLANI!T39</f>
        <v xml:space="preserve">MYO - IHA102	İTKİ SİSTEMİ SEÇİMİ VE TASARIMI </v>
      </c>
      <c r="E10" s="318" t="str">
        <f>DERS_PLANI!T51</f>
        <v>MATH 102 (Teorik) - Sec 1(Osman Tuncay Başkaya)</v>
      </c>
      <c r="F10" s="317" t="str">
        <f>DERS_PLANI!T63</f>
        <v>PHY 102 (Teorik) - Sec 2(Vedat Tanrıverdi)</v>
      </c>
    </row>
    <row r="11" spans="1:6" ht="24" customHeight="1">
      <c r="A11" s="196" t="s">
        <v>544</v>
      </c>
      <c r="B11" s="318" t="str">
        <f>DERS_PLANI!T16</f>
        <v>MATH 102 (Teorik) - 
Sec 3 (Mustafa Akkaya)</v>
      </c>
      <c r="C11" s="134">
        <f>DERS_PLANI!T28</f>
        <v>0</v>
      </c>
      <c r="D11" s="318" t="str">
        <f>DERS_PLANI!T40</f>
        <v xml:space="preserve">MYO - IHA102	İTKİ SİSTEMİ SEÇİMİ VE TASARIMI </v>
      </c>
      <c r="E11" s="134">
        <f>DERS_PLANI!T52</f>
        <v>0</v>
      </c>
      <c r="F11" s="317" t="str">
        <f>DERS_PLANI!T64</f>
        <v>PHY 102 (Teorik) - Sec 2(Vedat Tanrıverdi)</v>
      </c>
    </row>
    <row r="12" spans="1:6" ht="24" customHeight="1">
      <c r="A12" s="196" t="s">
        <v>705</v>
      </c>
      <c r="B12" s="134">
        <f>DERS_PLANI!T17</f>
        <v>0</v>
      </c>
      <c r="C12" s="134">
        <f>DERS_PLANI!T29</f>
        <v>0</v>
      </c>
      <c r="D12" s="134">
        <f>DERS_PLANI!T41</f>
        <v>0</v>
      </c>
      <c r="E12" s="134">
        <f>DERS_PLANI!T53</f>
        <v>0</v>
      </c>
      <c r="F12" s="67">
        <f>DERS_PLANI!T65</f>
        <v>0</v>
      </c>
    </row>
    <row r="13" spans="1:6" ht="24" customHeight="1">
      <c r="A13" s="196" t="s">
        <v>703</v>
      </c>
      <c r="B13" s="134">
        <f>DERS_PLANI!T18</f>
        <v>0</v>
      </c>
      <c r="C13" s="134">
        <f>DERS_PLANI!T30</f>
        <v>0</v>
      </c>
      <c r="D13" s="134">
        <f>DERS_PLANI!T42</f>
        <v>0</v>
      </c>
      <c r="E13" s="134">
        <f>DERS_PLANI!T54</f>
        <v>0</v>
      </c>
      <c r="F13" s="67">
        <f>DERS_PLANI!T66</f>
        <v>0</v>
      </c>
    </row>
    <row r="14" spans="1:6" ht="24" customHeight="1">
      <c r="A14" s="196" t="s">
        <v>704</v>
      </c>
      <c r="B14" s="134">
        <f>DERS_PLANI!T19</f>
        <v>0</v>
      </c>
      <c r="C14" s="134">
        <f>DERS_PLANI!T31</f>
        <v>0</v>
      </c>
      <c r="D14" s="134">
        <f>DERS_PLANI!T43</f>
        <v>0</v>
      </c>
      <c r="E14" s="134">
        <f>DERS_PLANI!T55</f>
        <v>0</v>
      </c>
      <c r="F14" s="67">
        <f>DERS_PLANI!T67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8" fitToHeight="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EB13-44C8-4208-9321-870DD275FA2E}">
  <sheetPr>
    <pageSetUpPr fitToPage="1"/>
  </sheetPr>
  <dimension ref="A1:F14"/>
  <sheetViews>
    <sheetView workbookViewId="0">
      <selection activeCell="D7" sqref="D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750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DERS_PLANI!S8</f>
        <v>0</v>
      </c>
      <c r="C3" s="66">
        <f>DERS_PLANI!S20</f>
        <v>0</v>
      </c>
      <c r="D3" s="66">
        <f>DERS_PLANI!S32</f>
        <v>0</v>
      </c>
      <c r="E3" s="66" t="str">
        <f>DERS_PLANI!S44</f>
        <v>FAD 104</v>
      </c>
      <c r="F3" s="67" t="str">
        <f>DERS_PLANI!S56</f>
        <v>FAD 330</v>
      </c>
    </row>
    <row r="4" spans="1:6" ht="24" customHeight="1">
      <c r="A4" s="196" t="s">
        <v>723</v>
      </c>
      <c r="B4" s="66">
        <f>DERS_PLANI!S9</f>
        <v>0</v>
      </c>
      <c r="C4" s="66" t="str">
        <f>DERS_PLANI!S21</f>
        <v>FAD 320</v>
      </c>
      <c r="D4" s="66">
        <f>DERS_PLANI!S33</f>
        <v>0</v>
      </c>
      <c r="E4" s="66" t="str">
        <f>DERS_PLANI!S45</f>
        <v>FAD 104</v>
      </c>
      <c r="F4" s="67" t="str">
        <f>DERS_PLANI!S57</f>
        <v>FAD 330</v>
      </c>
    </row>
    <row r="5" spans="1:6" ht="24" customHeight="1">
      <c r="A5" s="196" t="s">
        <v>724</v>
      </c>
      <c r="B5" s="66">
        <f>DERS_PLANI!S10</f>
        <v>0</v>
      </c>
      <c r="C5" s="66" t="str">
        <f>DERS_PLANI!S22</f>
        <v>FAD 320</v>
      </c>
      <c r="D5" s="66">
        <f>DERS_PLANI!S34</f>
        <v>0</v>
      </c>
      <c r="E5" s="66" t="str">
        <f>DERS_PLANI!S46</f>
        <v>FAD 104</v>
      </c>
      <c r="F5" s="67" t="str">
        <f>DERS_PLANI!S58</f>
        <v>FAD 330</v>
      </c>
    </row>
    <row r="6" spans="1:6" ht="24" customHeight="1">
      <c r="A6" s="196" t="s">
        <v>725</v>
      </c>
      <c r="B6" s="66">
        <f>DERS_PLANI!S11</f>
        <v>0</v>
      </c>
      <c r="C6" s="66" t="str">
        <f>DERS_PLANI!S23</f>
        <v>FAD 320</v>
      </c>
      <c r="D6" s="66" t="str">
        <f>DERS_PLANI!S35</f>
        <v>PSY 109</v>
      </c>
      <c r="E6" s="66" t="str">
        <f>DERS_PLANI!S47</f>
        <v>FAD 104</v>
      </c>
      <c r="F6" s="67" t="str">
        <f>DERS_PLANI!S59</f>
        <v>FAD 330</v>
      </c>
    </row>
    <row r="7" spans="1:6" ht="24" customHeight="1">
      <c r="A7" s="196" t="s">
        <v>726</v>
      </c>
      <c r="B7" s="66" t="str">
        <f>DERS_PLANI!S12</f>
        <v>FAD 110</v>
      </c>
      <c r="C7" s="66">
        <f>DERS_PLANI!S24</f>
        <v>0</v>
      </c>
      <c r="D7" s="66" t="str">
        <f>DERS_PLANI!S36</f>
        <v>PSY 109</v>
      </c>
      <c r="E7" s="66" t="str">
        <f>DERS_PLANI!S48</f>
        <v>FLM 206</v>
      </c>
      <c r="F7" s="67">
        <f>DERS_PLANI!S60</f>
        <v>0</v>
      </c>
    </row>
    <row r="8" spans="1:6" ht="24" customHeight="1">
      <c r="A8" s="196" t="s">
        <v>530</v>
      </c>
      <c r="B8" s="66" t="str">
        <f>DERS_PLANI!S13</f>
        <v>FAD 110</v>
      </c>
      <c r="C8" s="66">
        <f>DERS_PLANI!S25</f>
        <v>0</v>
      </c>
      <c r="D8" s="66" t="str">
        <f>DERS_PLANI!S37</f>
        <v>PSY 109</v>
      </c>
      <c r="E8" s="66" t="str">
        <f>DERS_PLANI!S49</f>
        <v>FLM 206</v>
      </c>
      <c r="F8" s="67">
        <f>DERS_PLANI!S61</f>
        <v>0</v>
      </c>
    </row>
    <row r="9" spans="1:6" ht="24" customHeight="1">
      <c r="A9" s="196" t="s">
        <v>727</v>
      </c>
      <c r="B9" s="66" t="str">
        <f>DERS_PLANI!S14</f>
        <v>FAD 110</v>
      </c>
      <c r="C9" s="66" t="str">
        <f>DERS_PLANI!S26</f>
        <v>FAD 332</v>
      </c>
      <c r="D9" s="66">
        <f>DERS_PLANI!S38</f>
        <v>0</v>
      </c>
      <c r="E9" s="66" t="str">
        <f>DERS_PLANI!S50</f>
        <v>FLM 206</v>
      </c>
      <c r="F9" s="67">
        <f>DERS_PLANI!S62</f>
        <v>0</v>
      </c>
    </row>
    <row r="10" spans="1:6" ht="24" customHeight="1">
      <c r="A10" s="196" t="s">
        <v>728</v>
      </c>
      <c r="B10" s="66">
        <f>DERS_PLANI!S15</f>
        <v>0</v>
      </c>
      <c r="C10" s="66" t="str">
        <f>DERS_PLANI!S27</f>
        <v>FAD 332</v>
      </c>
      <c r="D10" s="66">
        <f>DERS_PLANI!S39</f>
        <v>0</v>
      </c>
      <c r="E10" s="66" t="str">
        <f>DERS_PLANI!S51</f>
        <v>FLM 206</v>
      </c>
      <c r="F10" s="67">
        <f>DERS_PLANI!S63</f>
        <v>0</v>
      </c>
    </row>
    <row r="11" spans="1:6" ht="24" customHeight="1">
      <c r="A11" s="196" t="s">
        <v>544</v>
      </c>
      <c r="B11" s="66">
        <f>DERS_PLANI!S16</f>
        <v>0</v>
      </c>
      <c r="C11" s="66" t="str">
        <f>DERS_PLANI!S28</f>
        <v>FAD 332</v>
      </c>
      <c r="D11" s="66">
        <f>DERS_PLANI!S40</f>
        <v>0</v>
      </c>
      <c r="E11" s="66">
        <f>DERS_PLANI!S52</f>
        <v>0</v>
      </c>
      <c r="F11" s="67">
        <f>DERS_PLANI!S64</f>
        <v>0</v>
      </c>
    </row>
    <row r="12" spans="1:6" ht="24" customHeight="1">
      <c r="A12" s="196" t="s">
        <v>705</v>
      </c>
      <c r="B12" s="66">
        <f>DERS_PLANI!S17</f>
        <v>0</v>
      </c>
      <c r="C12" s="66">
        <f>DERS_PLANI!S29</f>
        <v>0</v>
      </c>
      <c r="D12" s="66">
        <f>DERS_PLANI!S41</f>
        <v>0</v>
      </c>
      <c r="E12" s="66">
        <f>DERS_PLANI!S53</f>
        <v>0</v>
      </c>
      <c r="F12" s="67">
        <f>DERS_PLANI!S65</f>
        <v>0</v>
      </c>
    </row>
    <row r="13" spans="1:6" ht="24" customHeight="1">
      <c r="A13" s="196" t="s">
        <v>703</v>
      </c>
      <c r="B13" s="66">
        <f>DERS_PLANI!S18</f>
        <v>0</v>
      </c>
      <c r="C13" s="66">
        <f>DERS_PLANI!S30</f>
        <v>0</v>
      </c>
      <c r="D13" s="66">
        <f>DERS_PLANI!S42</f>
        <v>0</v>
      </c>
      <c r="E13" s="66">
        <f>DERS_PLANI!S54</f>
        <v>0</v>
      </c>
      <c r="F13" s="67">
        <f>DERS_PLANI!S66</f>
        <v>0</v>
      </c>
    </row>
    <row r="14" spans="1:6" ht="24" customHeight="1">
      <c r="A14" s="196" t="s">
        <v>704</v>
      </c>
      <c r="B14" s="66">
        <f>DERS_PLANI!S19</f>
        <v>0</v>
      </c>
      <c r="C14" s="66">
        <f>DERS_PLANI!S31</f>
        <v>0</v>
      </c>
      <c r="D14" s="66">
        <f>DERS_PLANI!S43</f>
        <v>0</v>
      </c>
      <c r="E14" s="66">
        <f>DERS_PLANI!S55</f>
        <v>0</v>
      </c>
      <c r="F14" s="67">
        <f>DERS_PLANI!S67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fitToHeight="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4EB5-C8A6-44F2-9408-6F7817C8EDC4}">
  <sheetPr>
    <pageSetUpPr fitToPage="1"/>
  </sheetPr>
  <dimension ref="A1:F14"/>
  <sheetViews>
    <sheetView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751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DERS_PLANI!R8</f>
        <v>0</v>
      </c>
      <c r="C3" s="66" t="str">
        <f>DERS_PLANI!R20</f>
        <v>HUK414</v>
      </c>
      <c r="D3" s="66" t="str">
        <f>DERS_PLANI!R32</f>
        <v>HUK408</v>
      </c>
      <c r="E3" s="66">
        <f>DERS_PLANI!R44</f>
        <v>0</v>
      </c>
      <c r="F3" s="66">
        <f>DERS_PLANI!R56</f>
        <v>0</v>
      </c>
    </row>
    <row r="4" spans="1:6" ht="24" customHeight="1">
      <c r="A4" s="196" t="s">
        <v>723</v>
      </c>
      <c r="B4" s="66">
        <f>DERS_PLANI!R9</f>
        <v>0</v>
      </c>
      <c r="C4" s="66" t="str">
        <f>DERS_PLANI!R21</f>
        <v>HUK414</v>
      </c>
      <c r="D4" s="66" t="str">
        <f>DERS_PLANI!R33</f>
        <v>HUK408</v>
      </c>
      <c r="E4" s="66" t="str">
        <f>DERS_PLANI!R45</f>
        <v>HUK410</v>
      </c>
      <c r="F4" s="66">
        <f>DERS_PLANI!R57</f>
        <v>0</v>
      </c>
    </row>
    <row r="5" spans="1:6" ht="24" customHeight="1">
      <c r="A5" s="196" t="s">
        <v>724</v>
      </c>
      <c r="B5" s="66">
        <f>DERS_PLANI!R10</f>
        <v>0</v>
      </c>
      <c r="C5" s="66" t="str">
        <f>DERS_PLANI!R22</f>
        <v>HUK414</v>
      </c>
      <c r="D5" s="66" t="str">
        <f>DERS_PLANI!R34</f>
        <v>HUK408</v>
      </c>
      <c r="E5" s="66" t="str">
        <f>DERS_PLANI!R46</f>
        <v>HUK410</v>
      </c>
      <c r="F5" s="66">
        <f>DERS_PLANI!R58</f>
        <v>0</v>
      </c>
    </row>
    <row r="6" spans="1:6" ht="24" customHeight="1">
      <c r="A6" s="196" t="s">
        <v>725</v>
      </c>
      <c r="B6" s="66" t="str">
        <f>DERS_PLANI!R11</f>
        <v>YBS 457 TEDARİK ZİNCİRİ YÖNETİMİ
DR. ADİL AKKUŞ</v>
      </c>
      <c r="C6" s="66">
        <f>DERS_PLANI!R23</f>
        <v>0</v>
      </c>
      <c r="D6" s="66">
        <f>DERS_PLANI!R35</f>
        <v>0</v>
      </c>
      <c r="E6" s="66">
        <f>DERS_PLANI!R47</f>
        <v>0</v>
      </c>
      <c r="F6" s="66">
        <f>DERS_PLANI!R59</f>
        <v>0</v>
      </c>
    </row>
    <row r="7" spans="1:6" ht="24" customHeight="1">
      <c r="A7" s="196" t="s">
        <v>726</v>
      </c>
      <c r="B7" s="66" t="str">
        <f>DERS_PLANI!R12</f>
        <v>YBS 457 TEDARİK ZİNCİRİ YÖNETİMİ
DR. ADİL AKKUŞ</v>
      </c>
      <c r="C7" s="66" t="str">
        <f>DERS_PLANI!R24</f>
        <v>HUK404</v>
      </c>
      <c r="D7" s="66" t="str">
        <f>DERS_PLANI!R36</f>
        <v>HUK412</v>
      </c>
      <c r="E7" s="66" t="str">
        <f>DERS_PLANI!R48</f>
        <v>OC Hakikat</v>
      </c>
      <c r="F7" s="66">
        <f>DERS_PLANI!R60</f>
        <v>0</v>
      </c>
    </row>
    <row r="8" spans="1:6" ht="24" customHeight="1">
      <c r="A8" s="196" t="s">
        <v>530</v>
      </c>
      <c r="B8" s="66" t="str">
        <f>DERS_PLANI!R13</f>
        <v>YBS 457 TEDARİK ZİNCİRİ YÖNETİMİ
DR. ADİL AKKUŞ</v>
      </c>
      <c r="C8" s="66" t="str">
        <f>DERS_PLANI!R25</f>
        <v>HUK404</v>
      </c>
      <c r="D8" s="66" t="str">
        <f>DERS_PLANI!R37</f>
        <v>HUK412</v>
      </c>
      <c r="E8" s="66">
        <f>DERS_PLANI!R49</f>
        <v>0</v>
      </c>
      <c r="F8" s="66">
        <f>DERS_PLANI!R61</f>
        <v>0</v>
      </c>
    </row>
    <row r="9" spans="1:6" ht="24" customHeight="1">
      <c r="A9" s="196" t="s">
        <v>727</v>
      </c>
      <c r="B9" s="66">
        <f>DERS_PLANI!R14</f>
        <v>0</v>
      </c>
      <c r="C9" s="66" t="str">
        <f>DERS_PLANI!R26</f>
        <v>HUK404</v>
      </c>
      <c r="D9" s="66" t="str">
        <f>DERS_PLANI!R38</f>
        <v>HUK412</v>
      </c>
      <c r="E9" s="66">
        <f>DERS_PLANI!R50</f>
        <v>0</v>
      </c>
      <c r="F9" s="66">
        <f>DERS_PLANI!R62</f>
        <v>0</v>
      </c>
    </row>
    <row r="10" spans="1:6" ht="24" customHeight="1">
      <c r="A10" s="196" t="s">
        <v>728</v>
      </c>
      <c r="B10" s="66">
        <f>DERS_PLANI!R15</f>
        <v>0</v>
      </c>
      <c r="C10" s="66">
        <f>DERS_PLANI!R27</f>
        <v>0</v>
      </c>
      <c r="D10" s="66">
        <f>DERS_PLANI!R39</f>
        <v>0</v>
      </c>
      <c r="E10" s="66">
        <f>DERS_PLANI!R51</f>
        <v>0</v>
      </c>
      <c r="F10" s="66">
        <f>DERS_PLANI!R63</f>
        <v>0</v>
      </c>
    </row>
    <row r="11" spans="1:6" ht="24" customHeight="1">
      <c r="A11" s="196" t="s">
        <v>544</v>
      </c>
      <c r="B11" s="66">
        <f>DERS_PLANI!R16</f>
        <v>0</v>
      </c>
      <c r="C11" s="66">
        <f>DERS_PLANI!R28</f>
        <v>0</v>
      </c>
      <c r="D11" s="66">
        <f>DERS_PLANI!R40</f>
        <v>0</v>
      </c>
      <c r="E11" s="66">
        <f>DERS_PLANI!R52</f>
        <v>0</v>
      </c>
      <c r="F11" s="66">
        <f>DERS_PLANI!R64</f>
        <v>0</v>
      </c>
    </row>
    <row r="12" spans="1:6" ht="24" customHeight="1">
      <c r="A12" s="196" t="s">
        <v>705</v>
      </c>
      <c r="B12" s="66">
        <f>DERS_PLANI!R17</f>
        <v>0</v>
      </c>
      <c r="C12" s="66">
        <f>DERS_PLANI!R29</f>
        <v>0</v>
      </c>
      <c r="D12" s="66">
        <f>DERS_PLANI!R41</f>
        <v>0</v>
      </c>
      <c r="E12" s="66">
        <f>DERS_PLANI!R53</f>
        <v>0</v>
      </c>
      <c r="F12" s="66">
        <f>DERS_PLANI!R65</f>
        <v>0</v>
      </c>
    </row>
    <row r="13" spans="1:6" ht="24" customHeight="1">
      <c r="A13" s="196" t="s">
        <v>703</v>
      </c>
      <c r="B13" s="66">
        <f>DERS_PLANI!R18</f>
        <v>0</v>
      </c>
      <c r="C13" s="66">
        <f>DERS_PLANI!R30</f>
        <v>0</v>
      </c>
      <c r="D13" s="66">
        <f>DERS_PLANI!R42</f>
        <v>0</v>
      </c>
      <c r="E13" s="66">
        <f>DERS_PLANI!R54</f>
        <v>0</v>
      </c>
      <c r="F13" s="66">
        <f>DERS_PLANI!R66</f>
        <v>0</v>
      </c>
    </row>
    <row r="14" spans="1:6" ht="24" customHeight="1">
      <c r="A14" s="196" t="s">
        <v>704</v>
      </c>
      <c r="B14" s="66">
        <f>DERS_PLANI!R19</f>
        <v>0</v>
      </c>
      <c r="C14" s="66">
        <f>DERS_PLANI!R31</f>
        <v>0</v>
      </c>
      <c r="D14" s="66">
        <f>DERS_PLANI!R43</f>
        <v>0</v>
      </c>
      <c r="E14" s="66">
        <f>DERS_PLANI!R55</f>
        <v>0</v>
      </c>
      <c r="F14" s="66">
        <f>DERS_PLANI!R67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1571-3949-49BE-85CF-B382ED97F79D}">
  <sheetPr>
    <pageSetUpPr fitToPage="1"/>
  </sheetPr>
  <dimension ref="A1:F14"/>
  <sheetViews>
    <sheetView topLeftCell="A2" workbookViewId="0">
      <selection activeCell="E8" sqref="E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752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DERS_PLANI!Q8</f>
        <v>0</v>
      </c>
      <c r="C3" s="66">
        <f>DERS_PLANI!Q20</f>
        <v>0</v>
      </c>
      <c r="D3" s="66">
        <f>DERS_PLANI!Q32</f>
        <v>0</v>
      </c>
      <c r="E3" s="66">
        <f>DERS_PLANI!Q44</f>
        <v>0</v>
      </c>
      <c r="F3" s="67">
        <f>DERS_PLANI!Q56</f>
        <v>0</v>
      </c>
    </row>
    <row r="4" spans="1:6" ht="24" customHeight="1">
      <c r="A4" s="196" t="s">
        <v>723</v>
      </c>
      <c r="B4" s="314" t="str">
        <f>DERS_PLANI!Q9</f>
        <v>MYO IHA104	İHA SİSTEMLERİ ÜRETİM VE TESTLERİ</v>
      </c>
      <c r="C4" s="66">
        <f>DERS_PLANI!Q21</f>
        <v>0</v>
      </c>
      <c r="D4" s="66">
        <f>DERS_PLANI!Q33</f>
        <v>0</v>
      </c>
      <c r="E4" s="66">
        <f>DERS_PLANI!Q45</f>
        <v>0</v>
      </c>
      <c r="F4" s="67">
        <f>DERS_PLANI!Q57</f>
        <v>0</v>
      </c>
    </row>
    <row r="5" spans="1:6" ht="24" customHeight="1">
      <c r="A5" s="196" t="s">
        <v>724</v>
      </c>
      <c r="B5" s="314" t="str">
        <f>DERS_PLANI!Q10</f>
        <v>MYO IHA104	İHA SİSTEMLERİ ÜRETİM VE TESTLERİ</v>
      </c>
      <c r="C5" s="66">
        <f>DERS_PLANI!Q22</f>
        <v>0</v>
      </c>
      <c r="D5" s="66">
        <f>DERS_PLANI!Q34</f>
        <v>0</v>
      </c>
      <c r="E5" s="66">
        <f>DERS_PLANI!Q46</f>
        <v>0</v>
      </c>
      <c r="F5" s="67">
        <f>DERS_PLANI!Q58</f>
        <v>0</v>
      </c>
    </row>
    <row r="6" spans="1:6" ht="24" customHeight="1">
      <c r="A6" s="196" t="s">
        <v>725</v>
      </c>
      <c r="B6" s="314" t="str">
        <f>DERS_PLANI!Q11</f>
        <v>MYO IHA104	İHA SİSTEMLERİ ÜRETİM VE TESTLERİ</v>
      </c>
      <c r="C6" s="66" t="str">
        <f>DERS_PLANI!Q23</f>
        <v>ETI 104
(Dr. Akbay)</v>
      </c>
      <c r="D6" s="66" t="str">
        <f>DERS_PLANI!Q35</f>
        <v>FLM 302</v>
      </c>
      <c r="E6" s="66">
        <f>DERS_PLANI!Q47</f>
        <v>0</v>
      </c>
      <c r="F6" s="67">
        <f>DERS_PLANI!Q59</f>
        <v>0</v>
      </c>
    </row>
    <row r="7" spans="1:6" ht="24" customHeight="1">
      <c r="A7" s="196" t="s">
        <v>726</v>
      </c>
      <c r="B7" s="314" t="str">
        <f>DERS_PLANI!Q12</f>
        <v>MYO IHA104	İHA SİSTEMLERİ ÜRETİM VE TESTLERİ</v>
      </c>
      <c r="C7" s="66" t="str">
        <f>DERS_PLANI!Q24</f>
        <v>ETI 104
(Dr. Akbay)</v>
      </c>
      <c r="D7" s="66" t="str">
        <f>DERS_PLANI!Q36</f>
        <v>FLM 302</v>
      </c>
      <c r="E7" s="66">
        <f>DERS_PLANI!Q48</f>
        <v>0</v>
      </c>
      <c r="F7" s="67">
        <f>DERS_PLANI!Q60</f>
        <v>0</v>
      </c>
    </row>
    <row r="8" spans="1:6" ht="24" customHeight="1">
      <c r="A8" s="196" t="s">
        <v>530</v>
      </c>
      <c r="B8" s="66">
        <f>DERS_PLANI!Q13</f>
        <v>0</v>
      </c>
      <c r="C8" s="66" t="str">
        <f>DERS_PLANI!Q25</f>
        <v>ETI 104
(Dr. Akbay)</v>
      </c>
      <c r="D8" s="66" t="str">
        <f>DERS_PLANI!Q37</f>
        <v>FLM 302</v>
      </c>
      <c r="E8" s="66">
        <f>DERS_PLANI!Q49</f>
        <v>0</v>
      </c>
      <c r="F8" s="67">
        <f>DERS_PLANI!Q61</f>
        <v>0</v>
      </c>
    </row>
    <row r="9" spans="1:6" ht="24" customHeight="1">
      <c r="A9" s="196" t="s">
        <v>727</v>
      </c>
      <c r="B9" s="66">
        <f>DERS_PLANI!Q14</f>
        <v>0</v>
      </c>
      <c r="C9" s="66">
        <f>DERS_PLANI!Q26</f>
        <v>0</v>
      </c>
      <c r="D9" s="66">
        <f>DERS_PLANI!Q38</f>
        <v>0</v>
      </c>
      <c r="E9" s="66" t="e">
        <f>DERS_PLANI!#REF!</f>
        <v>#REF!</v>
      </c>
      <c r="F9" s="67">
        <f>DERS_PLANI!Q62</f>
        <v>0</v>
      </c>
    </row>
    <row r="10" spans="1:6" ht="24" customHeight="1">
      <c r="A10" s="196" t="s">
        <v>728</v>
      </c>
      <c r="B10" s="66">
        <f>DERS_PLANI!Q15</f>
        <v>0</v>
      </c>
      <c r="C10" s="66">
        <f>DERS_PLANI!Q27</f>
        <v>0</v>
      </c>
      <c r="D10" s="66">
        <f>DERS_PLANI!Q39</f>
        <v>0</v>
      </c>
      <c r="E10" s="66" t="e">
        <f>DERS_PLANI!#REF!</f>
        <v>#REF!</v>
      </c>
      <c r="F10" s="67">
        <f>DERS_PLANI!Q63</f>
        <v>0</v>
      </c>
    </row>
    <row r="11" spans="1:6" ht="24" customHeight="1">
      <c r="A11" s="196" t="s">
        <v>544</v>
      </c>
      <c r="B11" s="66">
        <f>DERS_PLANI!Q16</f>
        <v>0</v>
      </c>
      <c r="C11" s="66">
        <f>DERS_PLANI!Q28</f>
        <v>0</v>
      </c>
      <c r="D11" s="66">
        <f>DERS_PLANI!Q40</f>
        <v>0</v>
      </c>
      <c r="E11" s="66" t="e">
        <f>DERS_PLANI!#REF!</f>
        <v>#REF!</v>
      </c>
      <c r="F11" s="67">
        <f>DERS_PLANI!Q64</f>
        <v>0</v>
      </c>
    </row>
    <row r="12" spans="1:6" ht="24" customHeight="1">
      <c r="A12" s="196" t="s">
        <v>705</v>
      </c>
      <c r="B12" s="66">
        <f>DERS_PLANI!Q17</f>
        <v>0</v>
      </c>
      <c r="C12" s="66">
        <f>DERS_PLANI!Q29</f>
        <v>0</v>
      </c>
      <c r="D12" s="66">
        <f>DERS_PLANI!Q41</f>
        <v>0</v>
      </c>
      <c r="E12" s="66">
        <f>DERS_PLANI!Q53</f>
        <v>0</v>
      </c>
      <c r="F12" s="67">
        <f>DERS_PLANI!Q65</f>
        <v>0</v>
      </c>
    </row>
    <row r="13" spans="1:6" ht="24" customHeight="1">
      <c r="A13" s="196" t="s">
        <v>703</v>
      </c>
      <c r="B13" s="66">
        <f>DERS_PLANI!Q18</f>
        <v>0</v>
      </c>
      <c r="C13" s="66">
        <f>DERS_PLANI!Q30</f>
        <v>0</v>
      </c>
      <c r="D13" s="66">
        <f>DERS_PLANI!Q42</f>
        <v>0</v>
      </c>
      <c r="E13" s="66">
        <f>DERS_PLANI!Q54</f>
        <v>0</v>
      </c>
      <c r="F13" s="67">
        <f>DERS_PLANI!Q66</f>
        <v>0</v>
      </c>
    </row>
    <row r="14" spans="1:6" ht="24" customHeight="1">
      <c r="A14" s="196" t="s">
        <v>704</v>
      </c>
      <c r="B14" s="66">
        <f>DERS_PLANI!Q19</f>
        <v>0</v>
      </c>
      <c r="C14" s="66">
        <f>DERS_PLANI!Q31</f>
        <v>0</v>
      </c>
      <c r="D14" s="66">
        <f>DERS_PLANI!Q43</f>
        <v>0</v>
      </c>
      <c r="E14" s="66">
        <f>DERS_PLANI!Q55</f>
        <v>0</v>
      </c>
      <c r="F14" s="67">
        <f>DERS_PLANI!Q67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AE19-1246-4A27-9621-30B2E3ECD53B}">
  <sheetPr>
    <pageSetUpPr fitToPage="1"/>
  </sheetPr>
  <dimension ref="A1:F14"/>
  <sheetViews>
    <sheetView workbookViewId="0">
      <selection activeCell="E8" sqref="E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753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>
        <f>DERS_PLANI!P8</f>
        <v>0</v>
      </c>
      <c r="C3" s="164">
        <f>DERS_PLANI!P20</f>
        <v>0</v>
      </c>
      <c r="D3" s="164" t="str">
        <f>DERS_PLANI!P32</f>
        <v>ETI 202
(Dr. Acar)</v>
      </c>
      <c r="E3" s="164">
        <f>DERS_PLANI!P44</f>
        <v>0</v>
      </c>
      <c r="F3" s="175" t="str">
        <f>DERS_PLANI!P56</f>
        <v>MIS 232
(Dr. Sarı)</v>
      </c>
    </row>
    <row r="4" spans="1:6" ht="24" customHeight="1">
      <c r="A4" s="196" t="s">
        <v>723</v>
      </c>
      <c r="B4" s="164">
        <f>DERS_PLANI!P9</f>
        <v>0</v>
      </c>
      <c r="C4" s="164">
        <f>DERS_PLANI!P21</f>
        <v>0</v>
      </c>
      <c r="D4" s="164" t="str">
        <f>DERS_PLANI!P33</f>
        <v>ETI 202
(Dr. Acar)</v>
      </c>
      <c r="E4" s="164">
        <f>DERS_PLANI!P45</f>
        <v>0</v>
      </c>
      <c r="F4" s="175" t="str">
        <f>DERS_PLANI!P57</f>
        <v>MIS 232
(Dr. Sarı)</v>
      </c>
    </row>
    <row r="5" spans="1:6" ht="24" customHeight="1">
      <c r="A5" s="196" t="s">
        <v>724</v>
      </c>
      <c r="B5" s="164">
        <f>DERS_PLANI!P10</f>
        <v>0</v>
      </c>
      <c r="C5" s="164">
        <f>DERS_PLANI!P22</f>
        <v>0</v>
      </c>
      <c r="D5" s="164" t="str">
        <f>DERS_PLANI!P34</f>
        <v>ETI 202
(Dr. Acar)</v>
      </c>
      <c r="E5" s="164">
        <f>DERS_PLANI!P46</f>
        <v>0</v>
      </c>
      <c r="F5" s="175" t="str">
        <f>DERS_PLANI!P58</f>
        <v>MIS 232
(Dr. Sarı)</v>
      </c>
    </row>
    <row r="6" spans="1:6" ht="24" customHeight="1">
      <c r="A6" s="196" t="s">
        <v>725</v>
      </c>
      <c r="B6" s="164" t="str">
        <f>DERS_PLANI!P11</f>
        <v>ETI 264
(Doç. Düzgün)</v>
      </c>
      <c r="C6" s="164" t="str">
        <f>DERS_PLANI!P23</f>
        <v>CMM 202 Technical  Communication &amp;  Project Design</v>
      </c>
      <c r="D6" s="164" t="str">
        <f>DERS_PLANI!P35</f>
        <v xml:space="preserve">ENG 302 - 01 (PSY.) </v>
      </c>
      <c r="E6" s="164" t="str">
        <f>DERS_PLANI!P47</f>
        <v>MIS 212
(Dr. Özgül)</v>
      </c>
      <c r="F6" s="175">
        <f>DERS_PLANI!P59</f>
        <v>0</v>
      </c>
    </row>
    <row r="7" spans="1:6" ht="24" customHeight="1">
      <c r="A7" s="196" t="s">
        <v>726</v>
      </c>
      <c r="B7" s="164" t="str">
        <f>DERS_PLANI!P12</f>
        <v>ETI 264
(Doç. Düzgün)</v>
      </c>
      <c r="C7" s="164" t="str">
        <f>DERS_PLANI!P24</f>
        <v>CMM 202 Technical  Communication &amp;  Project Design</v>
      </c>
      <c r="D7" s="164" t="str">
        <f>DERS_PLANI!P36</f>
        <v xml:space="preserve">ENG 302 - 01 (PSY.) </v>
      </c>
      <c r="E7" s="164" t="str">
        <f>DERS_PLANI!P48</f>
        <v>MIS 212
(Dr. Özgül)</v>
      </c>
      <c r="F7" s="175">
        <f>DERS_PLANI!P60</f>
        <v>0</v>
      </c>
    </row>
    <row r="8" spans="1:6" ht="24" customHeight="1">
      <c r="A8" s="196" t="s">
        <v>530</v>
      </c>
      <c r="B8" s="164" t="str">
        <f>DERS_PLANI!P13</f>
        <v>ETI 264
(Doç. Düzgün)</v>
      </c>
      <c r="C8" s="164" t="str">
        <f>DERS_PLANI!P25</f>
        <v>CMM 202 Technical  Communication &amp;  Project Design</v>
      </c>
      <c r="D8" s="164">
        <f>DERS_PLANI!P37</f>
        <v>0</v>
      </c>
      <c r="E8" s="164" t="str">
        <f>DERS_PLANI!P49</f>
        <v>MIS 212
(Dr. Özgül)</v>
      </c>
      <c r="F8" s="175">
        <f>DERS_PLANI!P61</f>
        <v>0</v>
      </c>
    </row>
    <row r="9" spans="1:6" ht="24" customHeight="1">
      <c r="A9" s="196" t="s">
        <v>727</v>
      </c>
      <c r="B9" s="164" t="str">
        <f>DERS_PLANI!P14</f>
        <v>MIS 251 
Dr. Koçanlı</v>
      </c>
      <c r="C9" s="164">
        <f>DERS_PLANI!P26</f>
        <v>0</v>
      </c>
      <c r="D9" s="164">
        <f>DERS_PLANI!P38</f>
        <v>0</v>
      </c>
      <c r="E9" s="164" t="str">
        <f>DERS_PLANI!P50</f>
        <v xml:space="preserve">ETI 212
(Dr. Saki Demirel)
</v>
      </c>
      <c r="F9" s="175" t="str">
        <f>DERS_PLANI!P62</f>
        <v>MIS 468 
(Dr. Erek)</v>
      </c>
    </row>
    <row r="10" spans="1:6" ht="24" customHeight="1">
      <c r="A10" s="196" t="s">
        <v>728</v>
      </c>
      <c r="B10" s="164" t="str">
        <f>DERS_PLANI!P15</f>
        <v>MIS 251 
Dr. Koçanlı</v>
      </c>
      <c r="C10" s="164">
        <f>DERS_PLANI!P27</f>
        <v>0</v>
      </c>
      <c r="D10" s="164">
        <f>DERS_PLANI!P39</f>
        <v>0</v>
      </c>
      <c r="E10" s="164" t="str">
        <f>DERS_PLANI!P51</f>
        <v xml:space="preserve">ETI 212
(Dr. Saki Demirel)
</v>
      </c>
      <c r="F10" s="175" t="str">
        <f>DERS_PLANI!P63</f>
        <v>MIS 468 
(Dr. Erek)</v>
      </c>
    </row>
    <row r="11" spans="1:6" ht="24" customHeight="1">
      <c r="A11" s="196" t="s">
        <v>544</v>
      </c>
      <c r="B11" s="164" t="str">
        <f>DERS_PLANI!P16</f>
        <v>MIS 251
Dr. Koçanlı</v>
      </c>
      <c r="C11" s="164">
        <f>DERS_PLANI!P28</f>
        <v>0</v>
      </c>
      <c r="D11" s="164">
        <f>DERS_PLANI!P40</f>
        <v>0</v>
      </c>
      <c r="E11" s="164" t="str">
        <f>DERS_PLANI!P52</f>
        <v xml:space="preserve">ETI 212
(Dr. Saki Demirel)
</v>
      </c>
      <c r="F11" s="175" t="str">
        <f>DERS_PLANI!P64</f>
        <v>MIS 468 
(Dr. Erek)</v>
      </c>
    </row>
    <row r="12" spans="1:6" ht="24" customHeight="1">
      <c r="A12" s="196" t="s">
        <v>705</v>
      </c>
      <c r="B12" s="164">
        <f>DERS_PLANI!P17</f>
        <v>0</v>
      </c>
      <c r="C12" s="164">
        <f>DERS_PLANI!P29</f>
        <v>0</v>
      </c>
      <c r="D12" s="164">
        <f>DERS_PLANI!P41</f>
        <v>0</v>
      </c>
      <c r="E12" s="164">
        <f>DERS_PLANI!P53</f>
        <v>0</v>
      </c>
      <c r="F12" s="175">
        <f>DERS_PLANI!P65</f>
        <v>0</v>
      </c>
    </row>
    <row r="13" spans="1:6" ht="24" customHeight="1">
      <c r="A13" s="196" t="s">
        <v>703</v>
      </c>
      <c r="B13" s="164">
        <f>DERS_PLANI!P18</f>
        <v>0</v>
      </c>
      <c r="C13" s="164">
        <f>DERS_PLANI!P30</f>
        <v>0</v>
      </c>
      <c r="D13" s="164">
        <f>DERS_PLANI!P42</f>
        <v>0</v>
      </c>
      <c r="E13" s="164">
        <f>DERS_PLANI!P54</f>
        <v>0</v>
      </c>
      <c r="F13" s="175">
        <f>DERS_PLANI!P66</f>
        <v>0</v>
      </c>
    </row>
    <row r="14" spans="1:6" ht="24" customHeight="1">
      <c r="A14" s="196" t="s">
        <v>704</v>
      </c>
      <c r="B14" s="164">
        <f>DERS_PLANI!P19</f>
        <v>0</v>
      </c>
      <c r="C14" s="164">
        <f>DERS_PLANI!P31</f>
        <v>0</v>
      </c>
      <c r="D14" s="164">
        <f>DERS_PLANI!P43</f>
        <v>0</v>
      </c>
      <c r="E14" s="164">
        <f>DERS_PLANI!P55</f>
        <v>0</v>
      </c>
      <c r="F14" s="175">
        <f>DERS_PLANI!P67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274E-69BC-4F81-8DFF-8C5D018A6087}">
  <sheetPr>
    <pageSetUpPr fitToPage="1"/>
  </sheetPr>
  <dimension ref="A1:F14"/>
  <sheetViews>
    <sheetView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754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DERS_PLANI!O8</f>
        <v xml:space="preserve">ETI 112
(Dr. Acar)
</v>
      </c>
      <c r="C3" s="164" t="str">
        <f>DERS_PLANI!O20</f>
        <v>BUS 104                                                                                             (Prof. Eren)</v>
      </c>
      <c r="D3" s="164" t="str">
        <f>DERS_PLANI!O32</f>
        <v>MIS 457
(Prof. Meydan)</v>
      </c>
      <c r="E3" s="164" t="str">
        <f>DERS_PLANI!O44</f>
        <v>YBS 212 
Dr. Aykaç</v>
      </c>
      <c r="F3" s="175" t="str">
        <f>DERS_PLANI!O56</f>
        <v>POLS 106                                                                            (Prof. Osra)</v>
      </c>
    </row>
    <row r="4" spans="1:6" ht="24" customHeight="1">
      <c r="A4" s="196" t="s">
        <v>723</v>
      </c>
      <c r="B4" s="164" t="str">
        <f>DERS_PLANI!O9</f>
        <v xml:space="preserve">ETI 112
(Dr. Acar)
</v>
      </c>
      <c r="C4" s="164" t="str">
        <f>DERS_PLANI!O21</f>
        <v>BUS 104                                                                                             (Prof. Eren)</v>
      </c>
      <c r="D4" s="164" t="str">
        <f>DERS_PLANI!O33</f>
        <v>MIS 457
(Prof. Meydan)</v>
      </c>
      <c r="E4" s="164" t="str">
        <f>DERS_PLANI!O45</f>
        <v>YBS 212 
Dr. Aykaç</v>
      </c>
      <c r="F4" s="175" t="str">
        <f>DERS_PLANI!O57</f>
        <v>POLS 106                                                                            (Prof. Osra)</v>
      </c>
    </row>
    <row r="5" spans="1:6" ht="24" customHeight="1">
      <c r="A5" s="196" t="s">
        <v>724</v>
      </c>
      <c r="B5" s="164" t="str">
        <f>DERS_PLANI!O10</f>
        <v xml:space="preserve">ETI 112
(Dr. Acar)
</v>
      </c>
      <c r="C5" s="164" t="str">
        <f>DERS_PLANI!O22</f>
        <v>BUS 104                                                                                             (Prof. Eren)</v>
      </c>
      <c r="D5" s="164" t="str">
        <f>DERS_PLANI!O34</f>
        <v>MIS 457
(Prof. Meydan)</v>
      </c>
      <c r="E5" s="164" t="str">
        <f>DERS_PLANI!O46</f>
        <v>YBS 212 
Dr. Aykaç</v>
      </c>
      <c r="F5" s="175" t="str">
        <f>DERS_PLANI!O58</f>
        <v>POLS 106                                                                            (Prof. Osra)</v>
      </c>
    </row>
    <row r="6" spans="1:6" ht="24" customHeight="1">
      <c r="A6" s="196" t="s">
        <v>725</v>
      </c>
      <c r="B6" s="164" t="str">
        <f>DERS_PLANI!O11</f>
        <v>ETI 110
(Dr. Akbay)</v>
      </c>
      <c r="C6" s="164" t="str">
        <f>DERS_PLANI!M23</f>
        <v>YBS 322 KARAR DESTEK SİSTEMLERİ
DR. FATMA DEMİR ERKUL</v>
      </c>
      <c r="D6" s="164" t="str">
        <f>DERS_PLANI!O35</f>
        <v>MIS 112
(Prof. Meydan)</v>
      </c>
      <c r="E6" s="164" t="str">
        <f>DERS_PLANI!O47</f>
        <v>YBS 232 AĞ GÜVENLİĞİ
A.SAMET YÜZLÜ</v>
      </c>
      <c r="F6" s="175">
        <f>DERS_PLANI!O59</f>
        <v>0</v>
      </c>
    </row>
    <row r="7" spans="1:6" ht="24" customHeight="1">
      <c r="A7" s="196" t="s">
        <v>726</v>
      </c>
      <c r="B7" s="164" t="str">
        <f>DERS_PLANI!O12</f>
        <v>ETI 110
(Dr. Akbay)</v>
      </c>
      <c r="C7" s="164" t="str">
        <f>DERS_PLANI!M24</f>
        <v>YBS 322 KARAR DESTEK SİSTEMLERİ
DR. FATMA DEMİR ERKUL</v>
      </c>
      <c r="D7" s="164" t="str">
        <f>DERS_PLANI!O36</f>
        <v>MIS 112
(Prof. Meydan)</v>
      </c>
      <c r="E7" s="164" t="str">
        <f>DERS_PLANI!O48</f>
        <v>YBS 232 AĞ GÜVENLİĞİ
A.SAMET YÜZLÜ</v>
      </c>
      <c r="F7" s="175">
        <f>DERS_PLANI!O60</f>
        <v>0</v>
      </c>
    </row>
    <row r="8" spans="1:6" ht="24" customHeight="1">
      <c r="A8" s="196" t="s">
        <v>530</v>
      </c>
      <c r="B8" s="164" t="str">
        <f>DERS_PLANI!O13</f>
        <v>ETI 110
(Dr. Akbay)</v>
      </c>
      <c r="C8" s="164" t="str">
        <f>DERS_PLANI!M25</f>
        <v>YBS 322 KARAR DESTEK SİSTEMLERİ
DR. FATMA DEMİR ERKUL</v>
      </c>
      <c r="D8" s="164" t="str">
        <f>DERS_PLANI!O37</f>
        <v>MIS 112
(Prof. Meydan)</v>
      </c>
      <c r="E8" s="164" t="str">
        <f>DERS_PLANI!O49</f>
        <v>YBS 232 AĞ GÜVENLİĞİ
A.SAMET YÜZLÜ</v>
      </c>
      <c r="F8" s="175">
        <f>DERS_PLANI!O61</f>
        <v>0</v>
      </c>
    </row>
    <row r="9" spans="1:6" ht="24" customHeight="1">
      <c r="A9" s="196" t="s">
        <v>727</v>
      </c>
      <c r="B9" s="164">
        <f>DERS_PLANI!O14</f>
        <v>0</v>
      </c>
      <c r="C9" s="164">
        <f>DERS_PLANI!O26</f>
        <v>0</v>
      </c>
      <c r="D9" s="164" t="e">
        <f>DERS_PLANI!#REF!</f>
        <v>#REF!</v>
      </c>
      <c r="E9" s="164" t="str">
        <f>DERS_PLANI!O50</f>
        <v>YBS 222 OLASILIK VE İSTATİSTİK II
DR. M.ALPER AKDEMİR</v>
      </c>
      <c r="F9" s="175" t="str">
        <f>DERS_PLANI!O62</f>
        <v>YBS 242 YBS İÇİN VERİ TABANI
DR. GÜLÇİN ADIYAMAN</v>
      </c>
    </row>
    <row r="10" spans="1:6" ht="24" customHeight="1">
      <c r="A10" s="196" t="s">
        <v>728</v>
      </c>
      <c r="B10" s="164">
        <f>DERS_PLANI!O15</f>
        <v>0</v>
      </c>
      <c r="C10" s="164">
        <f>DERS_PLANI!O27</f>
        <v>0</v>
      </c>
      <c r="D10" s="164" t="e">
        <f>DERS_PLANI!#REF!</f>
        <v>#REF!</v>
      </c>
      <c r="E10" s="164" t="str">
        <f>DERS_PLANI!O51</f>
        <v>YBS 222 OLASILIK VE İSTATİSTİK II
DR. M.ALPER AKDEMİR</v>
      </c>
      <c r="F10" s="175" t="str">
        <f>DERS_PLANI!O63</f>
        <v>YBS 242 YBS İÇİN VERİ TABANI
DR. GÜLÇİN ADIYAMAN</v>
      </c>
    </row>
    <row r="11" spans="1:6" ht="24" customHeight="1">
      <c r="A11" s="196" t="s">
        <v>544</v>
      </c>
      <c r="B11" s="164">
        <f>DERS_PLANI!O16</f>
        <v>0</v>
      </c>
      <c r="C11" s="164">
        <f>DERS_PLANI!O28</f>
        <v>0</v>
      </c>
      <c r="D11" s="164" t="e">
        <f>DERS_PLANI!#REF!</f>
        <v>#REF!</v>
      </c>
      <c r="E11" s="164" t="str">
        <f>DERS_PLANI!O52</f>
        <v>YBS 222 OLASILIK VE İSTATİSTİK II
DR. M.ALPER AKDEMİR</v>
      </c>
      <c r="F11" s="175" t="str">
        <f>DERS_PLANI!O64</f>
        <v>YBS 242 YBS İÇİN VERİ TABANI
DR. GÜLÇİN ADIYAMAN</v>
      </c>
    </row>
    <row r="12" spans="1:6" ht="24" customHeight="1">
      <c r="A12" s="196" t="s">
        <v>705</v>
      </c>
      <c r="B12" s="164">
        <f>DERS_PLANI!O17</f>
        <v>0</v>
      </c>
      <c r="C12" s="164">
        <f>DERS_PLANI!O29</f>
        <v>0</v>
      </c>
      <c r="D12" s="164">
        <f>DERS_PLANI!O41</f>
        <v>0</v>
      </c>
      <c r="E12" s="164">
        <f>DERS_PLANI!O53</f>
        <v>0</v>
      </c>
      <c r="F12" s="175">
        <f>DERS_PLANI!O65</f>
        <v>0</v>
      </c>
    </row>
    <row r="13" spans="1:6" ht="24" customHeight="1">
      <c r="A13" s="196" t="s">
        <v>703</v>
      </c>
      <c r="B13" s="164">
        <f>DERS_PLANI!O18</f>
        <v>0</v>
      </c>
      <c r="C13" s="164">
        <f>DERS_PLANI!O30</f>
        <v>0</v>
      </c>
      <c r="D13" s="164">
        <f>DERS_PLANI!O42</f>
        <v>0</v>
      </c>
      <c r="E13" s="164">
        <f>DERS_PLANI!O54</f>
        <v>0</v>
      </c>
      <c r="F13" s="175">
        <f>DERS_PLANI!O66</f>
        <v>0</v>
      </c>
    </row>
    <row r="14" spans="1:6" ht="24" customHeight="1">
      <c r="A14" s="196" t="s">
        <v>704</v>
      </c>
      <c r="B14" s="164">
        <f>DERS_PLANI!O19</f>
        <v>0</v>
      </c>
      <c r="C14" s="164">
        <f>DERS_PLANI!O31</f>
        <v>0</v>
      </c>
      <c r="D14" s="164">
        <f>DERS_PLANI!O43</f>
        <v>0</v>
      </c>
      <c r="E14" s="164">
        <f>DERS_PLANI!O55</f>
        <v>0</v>
      </c>
      <c r="F14" s="175">
        <f>DERS_PLANI!O67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942E-9A1E-426E-83A2-8F8A530D91FF}">
  <sheetPr>
    <pageSetUpPr fitToPage="1"/>
  </sheetPr>
  <dimension ref="A1:F14"/>
  <sheetViews>
    <sheetView zoomScale="182" zoomScaleNormal="182" workbookViewId="0">
      <selection activeCell="D10" sqref="D10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755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DERS_PLANI!N8</f>
        <v>SEC329/CMM 329</v>
      </c>
      <c r="C3" s="164" t="str">
        <f>DERS_PLANI!N20</f>
        <v>HUK304</v>
      </c>
      <c r="D3" s="164" t="str">
        <f>DERS_PLANI!N32</f>
        <v>HUK312</v>
      </c>
      <c r="E3" s="164" t="str">
        <f>DERS_PLANI!N44</f>
        <v>HUK316</v>
      </c>
      <c r="F3" s="175" t="str">
        <f>DERS_PLANI!N56</f>
        <v>HUK302</v>
      </c>
    </row>
    <row r="4" spans="1:6" ht="24" customHeight="1">
      <c r="A4" s="196" t="s">
        <v>723</v>
      </c>
      <c r="B4" s="164" t="str">
        <f>DERS_PLANI!N9</f>
        <v>SEC329/CMM 329</v>
      </c>
      <c r="C4" s="164" t="str">
        <f>DERS_PLANI!N21</f>
        <v>HUK304</v>
      </c>
      <c r="D4" s="164" t="str">
        <f>DERS_PLANI!N33</f>
        <v>HUK312</v>
      </c>
      <c r="E4" s="164" t="str">
        <f>DERS_PLANI!N45</f>
        <v>HUK316</v>
      </c>
      <c r="F4" s="175" t="str">
        <f>DERS_PLANI!N57</f>
        <v>HUK302</v>
      </c>
    </row>
    <row r="5" spans="1:6" ht="24" customHeight="1">
      <c r="A5" s="196" t="s">
        <v>724</v>
      </c>
      <c r="B5" s="164" t="str">
        <f>DERS_PLANI!N10</f>
        <v>SEC329</v>
      </c>
      <c r="C5" s="164" t="str">
        <f>DERS_PLANI!N22</f>
        <v>HUK304</v>
      </c>
      <c r="D5" s="164" t="str">
        <f>DERS_PLANI!N34</f>
        <v>HUK312</v>
      </c>
      <c r="E5" s="164" t="str">
        <f>DERS_PLANI!N46</f>
        <v>HUK316</v>
      </c>
      <c r="F5" s="175" t="str">
        <f>DERS_PLANI!N58</f>
        <v>HUK302</v>
      </c>
    </row>
    <row r="6" spans="1:6" ht="24" customHeight="1">
      <c r="A6" s="196" t="s">
        <v>725</v>
      </c>
      <c r="B6" s="164" t="str">
        <f>DERS_PLANI!N11</f>
        <v>HUK306</v>
      </c>
      <c r="C6" s="164" t="str">
        <f>DERS_PLANI!N23</f>
        <v>HUK308</v>
      </c>
      <c r="D6" s="164" t="str">
        <f>DERS_PLANI!N35</f>
        <v>HUK312</v>
      </c>
      <c r="E6" s="164" t="str">
        <f>DERS_PLANI!N47</f>
        <v>OC 164</v>
      </c>
      <c r="F6" s="175" t="str">
        <f>DERS_PLANI!N59</f>
        <v>HUK302</v>
      </c>
    </row>
    <row r="7" spans="1:6" ht="24" customHeight="1">
      <c r="A7" s="196" t="s">
        <v>726</v>
      </c>
      <c r="B7" s="164" t="str">
        <f>DERS_PLANI!N12</f>
        <v>HUK306</v>
      </c>
      <c r="C7" s="164" t="str">
        <f>DERS_PLANI!N24</f>
        <v>HUK308</v>
      </c>
      <c r="D7" s="164" t="str">
        <f>DERS_PLANI!N36</f>
        <v>OC 118</v>
      </c>
      <c r="E7" s="164" t="str">
        <f>DERS_PLANI!N48</f>
        <v>HUK406</v>
      </c>
      <c r="F7" s="175" t="str">
        <f>DERS_PLANI!N60</f>
        <v>SEC318</v>
      </c>
    </row>
    <row r="8" spans="1:6" ht="24" customHeight="1">
      <c r="A8" s="196" t="s">
        <v>530</v>
      </c>
      <c r="B8" s="164" t="str">
        <f>DERS_PLANI!N13</f>
        <v>HUK306</v>
      </c>
      <c r="C8" s="164" t="str">
        <f>DERS_PLANI!N25</f>
        <v>HUK308</v>
      </c>
      <c r="D8" s="164" t="str">
        <f>DERS_PLANI!N37</f>
        <v>HUK308</v>
      </c>
      <c r="E8" s="164" t="str">
        <f>DERS_PLANI!N49</f>
        <v>HUK406</v>
      </c>
      <c r="F8" s="175" t="str">
        <f>DERS_PLANI!N61</f>
        <v>SEC318</v>
      </c>
    </row>
    <row r="9" spans="1:6" ht="24" customHeight="1">
      <c r="A9" s="196" t="s">
        <v>727</v>
      </c>
      <c r="B9" s="164" t="str">
        <f>DERS_PLANI!N14</f>
        <v>HUK306</v>
      </c>
      <c r="C9" s="164">
        <f>DERS_PLANI!N26</f>
        <v>0</v>
      </c>
      <c r="D9" s="164" t="str">
        <f>DERS_PLANI!N38</f>
        <v>HUK308</v>
      </c>
      <c r="E9" s="164" t="str">
        <f>DERS_PLANI!N50</f>
        <v>HUK406</v>
      </c>
      <c r="F9" s="175" t="str">
        <f>DERS_PLANI!N62</f>
        <v>SEC318</v>
      </c>
    </row>
    <row r="10" spans="1:6" ht="24" customHeight="1">
      <c r="A10" s="196" t="s">
        <v>728</v>
      </c>
      <c r="B10" s="164" t="str">
        <f>DERS_PLANI!N15</f>
        <v>HUK306</v>
      </c>
      <c r="C10" s="164">
        <f>DERS_PLANI!N27</f>
        <v>0</v>
      </c>
      <c r="D10" s="164">
        <f>DERS_PLANI!N39</f>
        <v>0</v>
      </c>
      <c r="E10" s="164">
        <f>DERS_PLANI!N51</f>
        <v>0</v>
      </c>
      <c r="F10" s="175">
        <f>DERS_PLANI!N63</f>
        <v>0</v>
      </c>
    </row>
    <row r="11" spans="1:6" ht="24" customHeight="1">
      <c r="A11" s="196" t="s">
        <v>544</v>
      </c>
      <c r="B11" s="164">
        <f>DERS_PLANI!N16</f>
        <v>0</v>
      </c>
      <c r="C11" s="164">
        <f>DERS_PLANI!N28</f>
        <v>0</v>
      </c>
      <c r="D11" s="164">
        <f>DERS_PLANI!N40</f>
        <v>0</v>
      </c>
      <c r="E11" s="164">
        <f>DERS_PLANI!N52</f>
        <v>0</v>
      </c>
      <c r="F11" s="175">
        <f>DERS_PLANI!N64</f>
        <v>0</v>
      </c>
    </row>
    <row r="12" spans="1:6" ht="24" customHeight="1">
      <c r="A12" s="196" t="s">
        <v>705</v>
      </c>
      <c r="B12" s="164">
        <f>DERS_PLANI!N17</f>
        <v>0</v>
      </c>
      <c r="C12" s="164">
        <f>DERS_PLANI!N29</f>
        <v>0</v>
      </c>
      <c r="D12" s="164">
        <f>DERS_PLANI!N41</f>
        <v>0</v>
      </c>
      <c r="E12" s="164">
        <f>DERS_PLANI!N53</f>
        <v>0</v>
      </c>
      <c r="F12" s="175">
        <f>DERS_PLANI!N65</f>
        <v>0</v>
      </c>
    </row>
    <row r="13" spans="1:6" ht="24" customHeight="1">
      <c r="A13" s="196" t="s">
        <v>703</v>
      </c>
      <c r="B13" s="164">
        <f>DERS_PLANI!N18</f>
        <v>0</v>
      </c>
      <c r="C13" s="164">
        <f>DERS_PLANI!N30</f>
        <v>0</v>
      </c>
      <c r="D13" s="164">
        <f>DERS_PLANI!N42</f>
        <v>0</v>
      </c>
      <c r="E13" s="164">
        <f>DERS_PLANI!N54</f>
        <v>0</v>
      </c>
      <c r="F13" s="175">
        <f>DERS_PLANI!N66</f>
        <v>0</v>
      </c>
    </row>
    <row r="14" spans="1:6" ht="24" customHeight="1">
      <c r="A14" s="196" t="s">
        <v>704</v>
      </c>
      <c r="B14" s="164">
        <f>DERS_PLANI!N19</f>
        <v>0</v>
      </c>
      <c r="C14" s="164">
        <f>DERS_PLANI!N31</f>
        <v>0</v>
      </c>
      <c r="D14" s="164">
        <f>DERS_PLANI!N43</f>
        <v>0</v>
      </c>
      <c r="E14" s="164">
        <f>DERS_PLANI!N55</f>
        <v>0</v>
      </c>
      <c r="F14" s="175">
        <f>DERS_PLANI!N67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BF5B-5353-497C-85EF-161CD27C1D94}">
  <sheetPr>
    <pageSetUpPr fitToPage="1"/>
  </sheetPr>
  <dimension ref="A1:F14"/>
  <sheetViews>
    <sheetView workbookViewId="0">
      <selection activeCell="E9" sqref="E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756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DERS_PLANI!M8</f>
        <v>BUS 102                                                                                (Dr. Kalkan)</v>
      </c>
      <c r="C3" s="164" t="str">
        <f>DERS_PLANI!O23</f>
        <v>PSİ 480
(Dr. Yeşi Kocagazioğlu)</v>
      </c>
      <c r="D3" s="164" t="str">
        <f>DERS_PLANI!M32</f>
        <v xml:space="preserve">SOC 102                                                                                                (Prof. Kes Erkul) </v>
      </c>
      <c r="E3" s="164" t="str">
        <f>DERS_PLANI!M44</f>
        <v>POLS 216                                                                                 (Dr. Vural)</v>
      </c>
      <c r="F3" s="175" t="str">
        <f>DERS_PLANI!M56</f>
        <v>BUS 208                                                                                                                               (Dr. Aykaç)</v>
      </c>
    </row>
    <row r="4" spans="1:6" ht="24" customHeight="1">
      <c r="A4" s="196" t="s">
        <v>723</v>
      </c>
      <c r="B4" s="164" t="str">
        <f>DERS_PLANI!M9</f>
        <v>BUS 102                                                                                (Dr. Kalkan)</v>
      </c>
      <c r="C4" s="164" t="str">
        <f>DERS_PLANI!O24</f>
        <v>PSİ 480
(Dr. Yeşi Kocagazioğlu)</v>
      </c>
      <c r="D4" s="164" t="str">
        <f>DERS_PLANI!M33</f>
        <v xml:space="preserve">SOC 102                                                                                                (Prof. Kes Erkul) </v>
      </c>
      <c r="E4" s="164" t="str">
        <f>DERS_PLANI!M45</f>
        <v>POLS 216                                                                                 (Dr. Vural)</v>
      </c>
      <c r="F4" s="175" t="str">
        <f>DERS_PLANI!M57</f>
        <v>BUS 208                                                                                                                               (Dr. Aykaç)</v>
      </c>
    </row>
    <row r="5" spans="1:6" ht="24" customHeight="1">
      <c r="A5" s="196" t="s">
        <v>724</v>
      </c>
      <c r="B5" s="164" t="str">
        <f>DERS_PLANI!M10</f>
        <v>BUS 102                                                                                (Dr. Kalkan)</v>
      </c>
      <c r="C5" s="164" t="str">
        <f>DERS_PLANI!O25</f>
        <v>PSİ 480
(Dr. Yeşi Kocagazioğlu)</v>
      </c>
      <c r="D5" s="164" t="str">
        <f>DERS_PLANI!M34</f>
        <v xml:space="preserve">SOC 102                                                                                                (Prof. Kes Erkul) </v>
      </c>
      <c r="E5" s="164" t="str">
        <f>DERS_PLANI!M46</f>
        <v>POLS 216                                                                                 (Dr. Vural)</v>
      </c>
      <c r="F5" s="175" t="str">
        <f>DERS_PLANI!M58</f>
        <v>BUS 208                                                                                                                               (Dr. Aykaç)</v>
      </c>
    </row>
    <row r="6" spans="1:6" ht="24" customHeight="1">
      <c r="A6" s="196" t="s">
        <v>725</v>
      </c>
      <c r="B6" s="164">
        <f>DERS_PLANI!M11</f>
        <v>0</v>
      </c>
      <c r="C6" s="164" t="e">
        <f>DERS_PLANI!#REF!</f>
        <v>#REF!</v>
      </c>
      <c r="D6" s="164" t="str">
        <f>DERS_PLANI!M35</f>
        <v>ETI 376
(Dr. Acar)</v>
      </c>
      <c r="E6" s="164" t="str">
        <f>DERS_PLANI!M47</f>
        <v>ETI 316
(Dr. Saki Demirel)</v>
      </c>
      <c r="F6" s="175">
        <f>DERS_PLANI!M59</f>
        <v>0</v>
      </c>
    </row>
    <row r="7" spans="1:6" ht="24" customHeight="1">
      <c r="A7" s="196" t="s">
        <v>726</v>
      </c>
      <c r="B7" s="164">
        <f>DERS_PLANI!M12</f>
        <v>0</v>
      </c>
      <c r="C7" s="164" t="e">
        <f>DERS_PLANI!#REF!</f>
        <v>#REF!</v>
      </c>
      <c r="D7" s="164" t="str">
        <f>DERS_PLANI!M36</f>
        <v>ETI 376
(Dr. Acar)</v>
      </c>
      <c r="E7" s="164" t="str">
        <f>DERS_PLANI!M48</f>
        <v>ETI 316
(Dr. Saki Demirel)</v>
      </c>
      <c r="F7" s="175">
        <f>DERS_PLANI!M60</f>
        <v>0</v>
      </c>
    </row>
    <row r="8" spans="1:6" ht="24" customHeight="1">
      <c r="A8" s="196" t="s">
        <v>530</v>
      </c>
      <c r="B8" s="164">
        <f>DERS_PLANI!M13</f>
        <v>0</v>
      </c>
      <c r="C8" s="164" t="e">
        <f>DERS_PLANI!#REF!</f>
        <v>#REF!</v>
      </c>
      <c r="D8" s="164" t="str">
        <f>DERS_PLANI!M37</f>
        <v>ETI 376
(Dr. Acar)</v>
      </c>
      <c r="E8" s="164" t="str">
        <f>DERS_PLANI!M49</f>
        <v>ETI 316
(Dr. Saki Demirel)</v>
      </c>
      <c r="F8" s="175" t="str">
        <f>DERS_PLANI!M61</f>
        <v>POLS 108                                                                                      (Dr. Balcı)</v>
      </c>
    </row>
    <row r="9" spans="1:6" ht="24" customHeight="1">
      <c r="A9" s="196" t="s">
        <v>727</v>
      </c>
      <c r="B9" s="164">
        <f>DERS_PLANI!M14</f>
        <v>0</v>
      </c>
      <c r="C9" s="164">
        <f>DERS_PLANI!M26</f>
        <v>0</v>
      </c>
      <c r="D9" s="164" t="str">
        <f>DERS_PLANI!M38</f>
        <v>POLS 214                                                                                        (Dr. Değirmenci)</v>
      </c>
      <c r="E9" s="164">
        <f>DERS_PLANI!M50</f>
        <v>0</v>
      </c>
      <c r="F9" s="175" t="str">
        <f>DERS_PLANI!M62</f>
        <v>POLS 108                                                                                      (Dr. Balcı)</v>
      </c>
    </row>
    <row r="10" spans="1:6" ht="24" customHeight="1">
      <c r="A10" s="196" t="s">
        <v>728</v>
      </c>
      <c r="B10" s="164">
        <f>DERS_PLANI!M15</f>
        <v>0</v>
      </c>
      <c r="C10" s="164">
        <f>DERS_PLANI!M27</f>
        <v>0</v>
      </c>
      <c r="D10" s="164" t="str">
        <f>DERS_PLANI!M39</f>
        <v>POLS 214                                                                                        (Dr. Değirmenci)</v>
      </c>
      <c r="E10" s="164">
        <f>DERS_PLANI!M51</f>
        <v>0</v>
      </c>
      <c r="F10" s="175" t="str">
        <f>DERS_PLANI!M63</f>
        <v>POLS 108                                                                                      (Dr. Balcı)</v>
      </c>
    </row>
    <row r="11" spans="1:6" ht="24" customHeight="1">
      <c r="A11" s="196" t="s">
        <v>544</v>
      </c>
      <c r="B11" s="164">
        <f>DERS_PLANI!M16</f>
        <v>0</v>
      </c>
      <c r="C11" s="164">
        <f>DERS_PLANI!M28</f>
        <v>0</v>
      </c>
      <c r="D11" s="164" t="str">
        <f>DERS_PLANI!M40</f>
        <v>POLS 214                                                                                        (Dr. Değirmenci)</v>
      </c>
      <c r="E11" s="164">
        <f>DERS_PLANI!M52</f>
        <v>0</v>
      </c>
      <c r="F11" s="175">
        <f>DERS_PLANI!M64</f>
        <v>0</v>
      </c>
    </row>
    <row r="12" spans="1:6" ht="24" customHeight="1">
      <c r="A12" s="196" t="s">
        <v>705</v>
      </c>
      <c r="B12" s="164" t="str">
        <f>DERS_PLANI!M17</f>
        <v>YBS 504
(Dr. Akkuş)</v>
      </c>
      <c r="C12" s="164" t="str">
        <f>DERS_PLANI!M29</f>
        <v>CMM 900 Turkish for International Students</v>
      </c>
      <c r="D12" s="164">
        <f>DERS_PLANI!M41</f>
        <v>0</v>
      </c>
      <c r="E12" s="164" t="str">
        <f>DERS_PLANI!M53</f>
        <v>ISL 514
(Dr. Bağcı)</v>
      </c>
      <c r="F12" s="175" t="str">
        <f>DERS_PLANI!M65</f>
        <v>YBS 518
(Dr. Künye Polat)</v>
      </c>
    </row>
    <row r="13" spans="1:6" ht="24" customHeight="1">
      <c r="A13" s="196" t="s">
        <v>703</v>
      </c>
      <c r="B13" s="164" t="str">
        <f>DERS_PLANI!M18</f>
        <v>YBS 504
(Dr. Akkuş)</v>
      </c>
      <c r="C13" s="164" t="str">
        <f>DERS_PLANI!M30</f>
        <v>CMM 900 Turkish for International Students</v>
      </c>
      <c r="D13" s="164">
        <f>DERS_PLANI!M42</f>
        <v>0</v>
      </c>
      <c r="E13" s="164" t="str">
        <f>DERS_PLANI!M54</f>
        <v>ISL 514
(Dr. Bağcı)</v>
      </c>
      <c r="F13" s="175" t="str">
        <f>DERS_PLANI!M66</f>
        <v>YBS 518
(Dr. Künye Polat)</v>
      </c>
    </row>
    <row r="14" spans="1:6" ht="24" customHeight="1">
      <c r="A14" s="196" t="s">
        <v>704</v>
      </c>
      <c r="B14" s="164" t="str">
        <f>DERS_PLANI!M19</f>
        <v>YBS 504
(Dr. Akkuş)</v>
      </c>
      <c r="C14" s="164" t="str">
        <f>DERS_PLANI!M31</f>
        <v>CMM 900 Turkish for International Students</v>
      </c>
      <c r="D14" s="164">
        <f>DERS_PLANI!M43</f>
        <v>0</v>
      </c>
      <c r="E14" s="164" t="str">
        <f>DERS_PLANI!M55</f>
        <v>ISL 514
(Dr. Bağcı)</v>
      </c>
      <c r="F14" s="175" t="str">
        <f>DERS_PLANI!M67</f>
        <v>YBS 518
(Dr. Künye Polat)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1C8-0114-4E28-8F84-37FD564831B2}">
  <sheetPr>
    <pageSetUpPr fitToPage="1"/>
  </sheetPr>
  <dimension ref="A1:F14"/>
  <sheetViews>
    <sheetView workbookViewId="0">
      <selection activeCell="F8" sqref="F8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757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>
        <f>DERS_PLANI!L8</f>
        <v>0</v>
      </c>
      <c r="C3" s="164" t="str">
        <f>DERS_PLANI!L22</f>
        <v xml:space="preserve">SPAN 302 </v>
      </c>
      <c r="D3" s="164" t="str">
        <f>DERS_PLANI!L32</f>
        <v xml:space="preserve">ETI 362
(Doç. Düzgün)
</v>
      </c>
      <c r="E3" s="164">
        <f>DERS_PLANI!L44</f>
        <v>0</v>
      </c>
      <c r="F3" s="175" t="str">
        <f>DERS_PLANI!L56</f>
        <v>MIS 364 Multinational and National Statistical Systems</v>
      </c>
    </row>
    <row r="4" spans="1:6" ht="24" customHeight="1">
      <c r="A4" s="196" t="s">
        <v>723</v>
      </c>
      <c r="B4" s="164">
        <f>DERS_PLANI!L9</f>
        <v>0</v>
      </c>
      <c r="C4" s="164" t="str">
        <f>DERS_PLANI!L23</f>
        <v xml:space="preserve">ENG 202 - 02 (PSY) </v>
      </c>
      <c r="D4" s="164" t="str">
        <f>DERS_PLANI!L33</f>
        <v xml:space="preserve">ETI 362
(Doç. Düzgün)
</v>
      </c>
      <c r="E4" s="164" t="str">
        <f>DERS_PLANI!L45</f>
        <v>HUK410</v>
      </c>
      <c r="F4" s="175" t="str">
        <f>DERS_PLANI!L57</f>
        <v>MIS 364 Multinational and National Statistical Systems</v>
      </c>
    </row>
    <row r="5" spans="1:6" ht="24" customHeight="1">
      <c r="A5" s="196" t="s">
        <v>724</v>
      </c>
      <c r="B5" s="164" t="str">
        <f>DERS_PLANI!L10</f>
        <v>OC 160 Diplomasi Atölyesi</v>
      </c>
      <c r="C5" s="164" t="str">
        <f>DERS_PLANI!L24</f>
        <v xml:space="preserve">ENG 202 - 02 (PSY) </v>
      </c>
      <c r="D5" s="164" t="str">
        <f>DERS_PLANI!L34</f>
        <v xml:space="preserve">ETI 362
(Doç. Düzgün)
</v>
      </c>
      <c r="E5" s="164" t="str">
        <f>DERS_PLANI!L46</f>
        <v>HUK410</v>
      </c>
      <c r="F5" s="175" t="str">
        <f>DERS_PLANI!L58</f>
        <v>MIS 364 Multinational and National Statistical Systems</v>
      </c>
    </row>
    <row r="6" spans="1:6" ht="24" customHeight="1">
      <c r="A6" s="196" t="s">
        <v>725</v>
      </c>
      <c r="B6" s="164" t="str">
        <f>DERS_PLANI!L11</f>
        <v>SİMURG MASTERCLASS</v>
      </c>
      <c r="C6" s="164">
        <f>DERS_PLANI!L25</f>
        <v>0</v>
      </c>
      <c r="D6" s="164" t="str">
        <f>DERS_PLANI!L35</f>
        <v xml:space="preserve">ENG302-03 (TR YBS)  </v>
      </c>
      <c r="E6" s="164" t="str">
        <f>DERS_PLANI!L47</f>
        <v>POLS 262                                                                          (Dr. Balcı)</v>
      </c>
      <c r="F6" s="175" t="str">
        <f>DERS_PLANI!L59</f>
        <v>PSY 342 (telafi)</v>
      </c>
    </row>
    <row r="7" spans="1:6" ht="24" customHeight="1">
      <c r="A7" s="196" t="s">
        <v>726</v>
      </c>
      <c r="B7" s="164" t="str">
        <f>DERS_PLANI!L12</f>
        <v>SİMURG MASTERCLASS</v>
      </c>
      <c r="C7" s="164">
        <f>DERS_PLANI!L26</f>
        <v>0</v>
      </c>
      <c r="D7" s="164" t="str">
        <f>DERS_PLANI!L36</f>
        <v xml:space="preserve">ENG302-03 (TR YBS)  </v>
      </c>
      <c r="E7" s="164" t="str">
        <f>DERS_PLANI!L48</f>
        <v>POLS 262                                                                          (Dr. Balcı)</v>
      </c>
      <c r="F7" s="175" t="str">
        <f>DERS_PLANI!L60</f>
        <v>PSY 342 (telafi)</v>
      </c>
    </row>
    <row r="8" spans="1:6" ht="24" customHeight="1">
      <c r="A8" s="196" t="s">
        <v>530</v>
      </c>
      <c r="B8" s="164" t="str">
        <f>DERS_PLANI!L13</f>
        <v>SİMURG MASTERCLASS</v>
      </c>
      <c r="C8" s="164">
        <f>DERS_PLANI!L27</f>
        <v>0</v>
      </c>
      <c r="D8" s="164">
        <f>DERS_PLANI!L37</f>
        <v>0</v>
      </c>
      <c r="E8" s="164" t="str">
        <f>DERS_PLANI!L49</f>
        <v>POLS 262                                                                          (Dr. Balcı)</v>
      </c>
      <c r="F8" s="175">
        <f>DERS_PLANI!L61</f>
        <v>0</v>
      </c>
    </row>
    <row r="9" spans="1:6" ht="24" customHeight="1">
      <c r="A9" s="196" t="s">
        <v>727</v>
      </c>
      <c r="B9" s="164" t="str">
        <f>DERS_PLANI!L14</f>
        <v>SİMURG MASTERCLASS</v>
      </c>
      <c r="C9" s="164">
        <f>DERS_PLANI!L28</f>
        <v>0</v>
      </c>
      <c r="D9" s="164">
        <f>DERS_PLANI!L38</f>
        <v>0</v>
      </c>
      <c r="E9" s="164" t="str">
        <f>DERS_PLANI!L50</f>
        <v>ETI 402
(Dr. Düzgün)</v>
      </c>
      <c r="F9" s="175">
        <f>DERS_PLANI!L62</f>
        <v>0</v>
      </c>
    </row>
    <row r="10" spans="1:6" ht="24" customHeight="1">
      <c r="A10" s="196" t="s">
        <v>728</v>
      </c>
      <c r="B10" s="164">
        <f>DERS_PLANI!L15</f>
        <v>0</v>
      </c>
      <c r="C10" s="164">
        <f>DERS_PLANI!L29</f>
        <v>0</v>
      </c>
      <c r="D10" s="164" t="str">
        <f>DERS_PLANI!L39</f>
        <v>OC 166 Diksiyon</v>
      </c>
      <c r="E10" s="164" t="str">
        <f>DERS_PLANI!L51</f>
        <v>ETI 402
(Dr. Düzgün)</v>
      </c>
      <c r="F10" s="175">
        <f>DERS_PLANI!L63</f>
        <v>0</v>
      </c>
    </row>
    <row r="11" spans="1:6" ht="24" customHeight="1">
      <c r="A11" s="196" t="s">
        <v>544</v>
      </c>
      <c r="B11" s="164">
        <f>DERS_PLANI!L16</f>
        <v>0</v>
      </c>
      <c r="C11" s="164">
        <f>DERS_PLANI!L30</f>
        <v>0</v>
      </c>
      <c r="D11" s="164">
        <f>DERS_PLANI!L40</f>
        <v>0</v>
      </c>
      <c r="E11" s="164" t="str">
        <f>DERS_PLANI!L52</f>
        <v>ETI 402
(Dr. Düzgün)</v>
      </c>
      <c r="F11" s="175">
        <f>DERS_PLANI!L64</f>
        <v>0</v>
      </c>
    </row>
    <row r="12" spans="1:6" ht="24" customHeight="1">
      <c r="A12" s="196" t="s">
        <v>705</v>
      </c>
      <c r="B12" s="164">
        <f>DERS_PLANI!L17</f>
        <v>0</v>
      </c>
      <c r="C12" s="164">
        <f>DERS_PLANI!L31</f>
        <v>0</v>
      </c>
      <c r="D12" s="164">
        <f>DERS_PLANI!L41</f>
        <v>0</v>
      </c>
      <c r="E12" s="164">
        <f>DERS_PLANI!L53</f>
        <v>0</v>
      </c>
      <c r="F12" s="175">
        <f>DERS_PLANI!L65</f>
        <v>0</v>
      </c>
    </row>
    <row r="13" spans="1:6" ht="24" customHeight="1">
      <c r="A13" s="196" t="s">
        <v>703</v>
      </c>
      <c r="B13" s="164">
        <f>DERS_PLANI!L18</f>
        <v>0</v>
      </c>
      <c r="C13" s="164" t="str">
        <f>DERS_PLANI!L32</f>
        <v xml:space="preserve">ETI 362
(Doç. Düzgün)
</v>
      </c>
      <c r="D13" s="164">
        <f>DERS_PLANI!L42</f>
        <v>0</v>
      </c>
      <c r="E13" s="164">
        <f>DERS_PLANI!L54</f>
        <v>0</v>
      </c>
      <c r="F13" s="175">
        <f>DERS_PLANI!L66</f>
        <v>0</v>
      </c>
    </row>
    <row r="14" spans="1:6" ht="24" customHeight="1">
      <c r="A14" s="196" t="s">
        <v>704</v>
      </c>
      <c r="B14" s="164">
        <f>DERS_PLANI!L19</f>
        <v>0</v>
      </c>
      <c r="C14" s="164" t="str">
        <f>DERS_PLANI!L33</f>
        <v xml:space="preserve">ETI 362
(Doç. Düzgün)
</v>
      </c>
      <c r="D14" s="164">
        <f>DERS_PLANI!L43</f>
        <v>0</v>
      </c>
      <c r="E14" s="164">
        <f>DERS_PLANI!L55</f>
        <v>0</v>
      </c>
      <c r="F14" s="175">
        <f>DERS_PLANI!L67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7D82-65C0-4649-92E1-A211602A6755}">
  <sheetPr>
    <pageSetUpPr fitToPage="1"/>
  </sheetPr>
  <dimension ref="A1:F14"/>
  <sheetViews>
    <sheetView workbookViewId="0">
      <selection activeCell="E9" sqref="E9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59" t="s">
        <v>758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DERS_PLANI!K8</f>
        <v>BUS 304                                                                                   (Dr. Özgül)</v>
      </c>
      <c r="C3" s="164" t="str">
        <f>DERS_PLANI!K20</f>
        <v>BUS 302                                                                                  (Dr. Akdemir)</v>
      </c>
      <c r="D3" s="164" t="str">
        <f>DERS_PLANI!K32</f>
        <v>POLS 302                                                                          (Assoc. Prof. Köni)</v>
      </c>
      <c r="E3" s="164">
        <f>DERS_PLANI!K44</f>
        <v>0</v>
      </c>
      <c r="F3" s="175" t="str">
        <f>DERS_PLANI!K56</f>
        <v>POLS 212                                                                                     (Assoc. Prof. Koni)</v>
      </c>
    </row>
    <row r="4" spans="1:6" ht="24" customHeight="1">
      <c r="A4" s="196" t="s">
        <v>723</v>
      </c>
      <c r="B4" s="164" t="str">
        <f>DERS_PLANI!K9</f>
        <v>BUS 304                                                                                   (Dr. Özgül)</v>
      </c>
      <c r="C4" s="164" t="str">
        <f>DERS_PLANI!K21</f>
        <v>BUS 302                                                                                  (Dr. Akdemir)</v>
      </c>
      <c r="D4" s="164" t="str">
        <f>DERS_PLANI!K33</f>
        <v>POLS 302                                                                          (Assoc. Prof. Köni)</v>
      </c>
      <c r="E4" s="164">
        <f>DERS_PLANI!K45</f>
        <v>0</v>
      </c>
      <c r="F4" s="175" t="str">
        <f>DERS_PLANI!K57</f>
        <v>POLS 212                                                                                     (Assoc. Prof. Koni)</v>
      </c>
    </row>
    <row r="5" spans="1:6" ht="24" customHeight="1">
      <c r="A5" s="196" t="s">
        <v>724</v>
      </c>
      <c r="B5" s="164" t="str">
        <f>DERS_PLANI!K10</f>
        <v>BUS 304                                                                                   (Dr. Özgül)</v>
      </c>
      <c r="C5" s="164" t="str">
        <f>DERS_PLANI!K22</f>
        <v>BUS 302                                                                                  (Dr. Akdemir)</v>
      </c>
      <c r="D5" s="164" t="str">
        <f>DERS_PLANI!K34</f>
        <v>POLS 302                                                                          (Assoc. Prof. Köni)</v>
      </c>
      <c r="E5" s="164" t="str">
        <f>DERS_PLANI!K46</f>
        <v>OC 170</v>
      </c>
      <c r="F5" s="175" t="str">
        <f>DERS_PLANI!K58</f>
        <v>POLS 212                                                                                     (Assoc. Prof. Koni)</v>
      </c>
    </row>
    <row r="6" spans="1:6" ht="24" customHeight="1">
      <c r="A6" s="196" t="s">
        <v>725</v>
      </c>
      <c r="B6" s="164">
        <f>DERS_PLANI!K11</f>
        <v>0</v>
      </c>
      <c r="C6" s="164" t="str">
        <f>DERS_PLANI!K23</f>
        <v>BUS 202                                                                                                      (Dr. Özgül)</v>
      </c>
      <c r="D6" s="164" t="str">
        <f>DERS_PLANI!K35</f>
        <v>BUS 308                                                                                                                                       (Dr. Akdemir)</v>
      </c>
      <c r="E6" s="164" t="str">
        <f>DERS_PLANI!K47</f>
        <v>BUS 210                                                                                                                                        (Dr. Kalkan)</v>
      </c>
      <c r="F6" s="175">
        <f>DERS_PLANI!K59</f>
        <v>0</v>
      </c>
    </row>
    <row r="7" spans="1:6" ht="24" customHeight="1">
      <c r="A7" s="196" t="s">
        <v>726</v>
      </c>
      <c r="B7" s="164">
        <f>DERS_PLANI!K12</f>
        <v>0</v>
      </c>
      <c r="C7" s="164" t="str">
        <f>DERS_PLANI!K24</f>
        <v>BUS 202                                                                                                      (Dr. Özgül)</v>
      </c>
      <c r="D7" s="164" t="str">
        <f>DERS_PLANI!K36</f>
        <v>BUS 308                                                                                                                                       (Dr. Akdemir)</v>
      </c>
      <c r="E7" s="164" t="str">
        <f>DERS_PLANI!K48</f>
        <v>BUS 210                                                                                                                                        (Dr. Kalkan)</v>
      </c>
      <c r="F7" s="175">
        <f>DERS_PLANI!K60</f>
        <v>0</v>
      </c>
    </row>
    <row r="8" spans="1:6" ht="24" customHeight="1">
      <c r="A8" s="196" t="s">
        <v>530</v>
      </c>
      <c r="B8" s="164">
        <f>DERS_PLANI!K13</f>
        <v>0</v>
      </c>
      <c r="C8" s="164" t="str">
        <f>DERS_PLANI!K25</f>
        <v>BUS 202                                                                                                      (Dr. Özgül)</v>
      </c>
      <c r="D8" s="164" t="str">
        <f>DERS_PLANI!K37</f>
        <v>BUS 308                                                                                                                                       (Dr. Akdemir)</v>
      </c>
      <c r="E8" s="164" t="str">
        <f>DERS_PLANI!K49</f>
        <v>BUS 210                                                                                                                                        (Dr. Kalkan)</v>
      </c>
      <c r="F8" s="175">
        <f>DERS_PLANI!K61</f>
        <v>0</v>
      </c>
    </row>
    <row r="9" spans="1:6" ht="24" customHeight="1">
      <c r="A9" s="196" t="s">
        <v>727</v>
      </c>
      <c r="B9" s="164" t="str">
        <f>DERS_PLANI!K14</f>
        <v>GER 202 (01)
(Öğr. Gör. Yılmaz)</v>
      </c>
      <c r="C9" s="164" t="str">
        <f>DERS_PLANI!K26</f>
        <v xml:space="preserve">OC 174 Advanced English Speaking </v>
      </c>
      <c r="D9" s="164" t="str">
        <f>DERS_PLANI!K38</f>
        <v>GER 202 (02)
(Öğr. Gör. Yılmaz)</v>
      </c>
      <c r="E9" s="164">
        <f>DERS_PLANI!K50</f>
        <v>0</v>
      </c>
      <c r="F9" s="175">
        <f>DERS_PLANI!K62</f>
        <v>0</v>
      </c>
    </row>
    <row r="10" spans="1:6" ht="24" customHeight="1">
      <c r="A10" s="196" t="s">
        <v>728</v>
      </c>
      <c r="B10" s="164" t="str">
        <f>DERS_PLANI!K15</f>
        <v>GER 202 (01)
(Öğr. Gör. Yılmaz)</v>
      </c>
      <c r="C10" s="164" t="str">
        <f>DERS_PLANI!K27</f>
        <v xml:space="preserve">OC 174 Advanced English Speaking </v>
      </c>
      <c r="D10" s="164" t="str">
        <f>DERS_PLANI!K39</f>
        <v>GER 202 (02)
(Öğr. Gör. Yılmaz)</v>
      </c>
      <c r="E10" s="164">
        <f>DERS_PLANI!K51</f>
        <v>0</v>
      </c>
      <c r="F10" s="175">
        <f>DERS_PLANI!K63</f>
        <v>0</v>
      </c>
    </row>
    <row r="11" spans="1:6" ht="24" customHeight="1">
      <c r="A11" s="196" t="s">
        <v>544</v>
      </c>
      <c r="B11" s="164" t="str">
        <f>DERS_PLANI!K16</f>
        <v>GER 202 (01)
(Öğr. Gör. Yılmaz)</v>
      </c>
      <c r="C11" s="164" t="str">
        <f>DERS_PLANI!K28</f>
        <v xml:space="preserve">OC 174 Advanced English Speaking </v>
      </c>
      <c r="D11" s="164" t="str">
        <f>DERS_PLANI!K40</f>
        <v>GER 202 (02)
(Öğr. Gör. Yılmaz)</v>
      </c>
      <c r="E11" s="164">
        <f>DERS_PLANI!K52</f>
        <v>0</v>
      </c>
      <c r="F11" s="175">
        <f>DERS_PLANI!K64</f>
        <v>0</v>
      </c>
    </row>
    <row r="12" spans="1:6" ht="24" customHeight="1">
      <c r="A12" s="196" t="s">
        <v>705</v>
      </c>
      <c r="B12" s="164">
        <f>DERS_PLANI!K17</f>
        <v>0</v>
      </c>
      <c r="C12" s="164">
        <f>DERS_PLANI!K29</f>
        <v>0</v>
      </c>
      <c r="D12" s="164">
        <f>DERS_PLANI!K41</f>
        <v>0</v>
      </c>
      <c r="E12" s="164">
        <f>DERS_PLANI!K53</f>
        <v>0</v>
      </c>
      <c r="F12" s="175">
        <f>DERS_PLANI!K65</f>
        <v>0</v>
      </c>
    </row>
    <row r="13" spans="1:6" ht="24" customHeight="1">
      <c r="A13" s="196" t="s">
        <v>703</v>
      </c>
      <c r="B13" s="164">
        <f>DERS_PLANI!K18</f>
        <v>0</v>
      </c>
      <c r="C13" s="164">
        <f>DERS_PLANI!K30</f>
        <v>0</v>
      </c>
      <c r="D13" s="164">
        <f>DERS_PLANI!K42</f>
        <v>0</v>
      </c>
      <c r="E13" s="164">
        <f>DERS_PLANI!K54</f>
        <v>0</v>
      </c>
      <c r="F13" s="175">
        <f>DERS_PLANI!K66</f>
        <v>0</v>
      </c>
    </row>
    <row r="14" spans="1:6" ht="24" customHeight="1">
      <c r="A14" s="196" t="s">
        <v>704</v>
      </c>
      <c r="B14" s="164">
        <f>DERS_PLANI!K19</f>
        <v>0</v>
      </c>
      <c r="C14" s="164">
        <f>DERS_PLANI!K31</f>
        <v>0</v>
      </c>
      <c r="D14" s="164">
        <f>DERS_PLANI!K43</f>
        <v>0</v>
      </c>
      <c r="E14" s="164">
        <f>DERS_PLANI!K55</f>
        <v>0</v>
      </c>
      <c r="F14" s="175">
        <f>DERS_PLANI!K67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EDC2-522C-42B0-A86D-51B636C0571A}">
  <sheetPr>
    <pageSetUpPr fitToPage="1"/>
  </sheetPr>
  <dimension ref="A1:F14"/>
  <sheetViews>
    <sheetView workbookViewId="0">
      <selection activeCell="E6" sqref="E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59" t="s">
        <v>759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DERS_PLANI!J8</f>
        <v xml:space="preserve">CMM 211-Philosophy of Technology and Society </v>
      </c>
      <c r="C3" s="164" t="str">
        <f>DERS_PLANI!G32</f>
        <v>MIS 362
(Lect. Yolcu)</v>
      </c>
      <c r="D3" s="164" t="str">
        <f>DERS_PLANI!J32</f>
        <v>MIS 458
Dr. Gerdan</v>
      </c>
      <c r="E3" s="164" t="str">
        <f>DERS_PLANI!J44</f>
        <v>BUS 206                                                                                                                                        (Dr. Kalkan)</v>
      </c>
      <c r="F3" s="175" t="str">
        <f>DERS_PLANI!J56</f>
        <v>SPAN 102 (01)
(Öğr. Gör. Ersoy)</v>
      </c>
    </row>
    <row r="4" spans="1:6" ht="24" customHeight="1">
      <c r="A4" s="196" t="s">
        <v>723</v>
      </c>
      <c r="B4" s="164" t="str">
        <f>DERS_PLANI!J9</f>
        <v xml:space="preserve">CMM 211-Philosophy of Technology and Society </v>
      </c>
      <c r="C4" s="164" t="str">
        <f>DERS_PLANI!G33</f>
        <v>MIS 362
(Lect. Yolcu)</v>
      </c>
      <c r="D4" s="164" t="str">
        <f>DERS_PLANI!J33</f>
        <v>MIS 458
Dr. Gerdan</v>
      </c>
      <c r="E4" s="164" t="str">
        <f>DERS_PLANI!J45</f>
        <v>BUS 206                                                                                                                                        (Dr. Kalkan)</v>
      </c>
      <c r="F4" s="175" t="str">
        <f>DERS_PLANI!J57</f>
        <v>SPAN 102 (01)
(Öğr. Gör. Ersoy)</v>
      </c>
    </row>
    <row r="5" spans="1:6" ht="24" customHeight="1">
      <c r="A5" s="196" t="s">
        <v>724</v>
      </c>
      <c r="B5" s="164" t="str">
        <f>DERS_PLANI!J10</f>
        <v xml:space="preserve">CMM 211-Philosophy of Technology and Society </v>
      </c>
      <c r="C5" s="164" t="str">
        <f>DERS_PLANI!G34</f>
        <v>MIS 362
(Lect. Yolcu)</v>
      </c>
      <c r="D5" s="164" t="str">
        <f>DERS_PLANI!J34</f>
        <v>MIS 458
Dr. Gerdan</v>
      </c>
      <c r="E5" s="164" t="str">
        <f>DERS_PLANI!J46</f>
        <v>BUS 206                                                                                                                                        (Dr. Kalkan)</v>
      </c>
      <c r="F5" s="175" t="str">
        <f>DERS_PLANI!J58</f>
        <v>SPAN 102 (01)
(Öğr. Gör. Ersoy)</v>
      </c>
    </row>
    <row r="6" spans="1:6" ht="24" customHeight="1">
      <c r="A6" s="196" t="s">
        <v>725</v>
      </c>
      <c r="B6" s="164" t="str">
        <f>DERS_PLANI!J11</f>
        <v>POLS 306                                                                           (Assoc. Prof. Köni)</v>
      </c>
      <c r="C6" s="164" t="str">
        <f>DERS_PLANI!G35</f>
        <v>POLS 308                                                                                     (Dr. Aslaner)</v>
      </c>
      <c r="D6" s="164" t="str">
        <f>DERS_PLANI!J35</f>
        <v>MIS 322
Dr. Erkul</v>
      </c>
      <c r="E6" s="164" t="str">
        <f>DERS_PLANI!J47</f>
        <v>SİMURG 2. DÖNEM</v>
      </c>
      <c r="F6" s="175">
        <f>DERS_PLANI!J59</f>
        <v>0</v>
      </c>
    </row>
    <row r="7" spans="1:6" ht="24" customHeight="1">
      <c r="A7" s="196" t="s">
        <v>726</v>
      </c>
      <c r="B7" s="164" t="str">
        <f>DERS_PLANI!J12</f>
        <v>POLS 306                                                                           (Assoc. Prof. Köni)</v>
      </c>
      <c r="C7" s="164" t="str">
        <f>DERS_PLANI!G36</f>
        <v>POLS 308                                                                                     (Dr. Aslaner)</v>
      </c>
      <c r="D7" s="164" t="str">
        <f>DERS_PLANI!J36</f>
        <v>MIS 322
Dr. Erkul</v>
      </c>
      <c r="E7" s="164" t="str">
        <f>DERS_PLANI!J48</f>
        <v>SİMURG 2. DÖNEM</v>
      </c>
      <c r="F7" s="175">
        <f>DERS_PLANI!J60</f>
        <v>0</v>
      </c>
    </row>
    <row r="8" spans="1:6" ht="24" customHeight="1">
      <c r="A8" s="196" t="s">
        <v>530</v>
      </c>
      <c r="B8" s="164" t="str">
        <f>DERS_PLANI!J13</f>
        <v>POLS 306                                                                           (Assoc. Prof. Köni)</v>
      </c>
      <c r="C8" s="164" t="str">
        <f>DERS_PLANI!G37</f>
        <v>POLS 308                                                                                     (Dr. Aslaner)</v>
      </c>
      <c r="D8" s="164" t="str">
        <f>DERS_PLANI!J37</f>
        <v>MIS 322
Dr. Erkul</v>
      </c>
      <c r="E8" s="164" t="str">
        <f>DERS_PLANI!J49</f>
        <v>SİMURG 2. DÖNEM</v>
      </c>
      <c r="F8" s="175">
        <f>DERS_PLANI!J61</f>
        <v>0</v>
      </c>
    </row>
    <row r="9" spans="1:6" ht="24" customHeight="1">
      <c r="A9" s="196" t="s">
        <v>727</v>
      </c>
      <c r="B9" s="164">
        <f>DERS_PLANI!J14</f>
        <v>0</v>
      </c>
      <c r="C9" s="164" t="str">
        <f>DERS_PLANI!G38</f>
        <v>YBS 362 MÜZAKERE TEKNİKLERİ
DOÇ.DR. MÜNEVVER BAYAR</v>
      </c>
      <c r="D9" s="164" t="str">
        <f>DERS_PLANI!O38</f>
        <v xml:space="preserve"> CMM 186 İklim Değişikliği ve Ekonomi</v>
      </c>
      <c r="E9" s="164" t="str">
        <f>DERS_PLANI!J50</f>
        <v>SİMURG 2. DÖNEM</v>
      </c>
      <c r="F9" s="175" t="str">
        <f>DERS_PLANI!J62</f>
        <v>SPAN 102 (02)
(Öğr. Gör. Ersoy)</v>
      </c>
    </row>
    <row r="10" spans="1:6" ht="24" customHeight="1">
      <c r="A10" s="196" t="s">
        <v>728</v>
      </c>
      <c r="B10" s="164">
        <f>DERS_PLANI!J15</f>
        <v>0</v>
      </c>
      <c r="C10" s="164" t="str">
        <f>DERS_PLANI!G39</f>
        <v>YBS 362 MÜZAKERE TEKNİKLERİ
DOÇ.DR. MÜNEVVER BAYAR</v>
      </c>
      <c r="D10" s="164" t="str">
        <f>DERS_PLANI!O39</f>
        <v xml:space="preserve"> CMM 186 İklim Değişikliği ve Ekonomi</v>
      </c>
      <c r="E10" s="164" t="str">
        <f>DERS_PLANI!J51</f>
        <v>SİMURG SEÇMELİ İNGİLİZCE</v>
      </c>
      <c r="F10" s="175" t="str">
        <f>DERS_PLANI!J63</f>
        <v>SPAN 102 (02)
(Öğr. Gör. Ersoy)</v>
      </c>
    </row>
    <row r="11" spans="1:6" ht="24" customHeight="1">
      <c r="A11" s="196" t="s">
        <v>544</v>
      </c>
      <c r="B11" s="164">
        <f>DERS_PLANI!J16</f>
        <v>0</v>
      </c>
      <c r="C11" s="164" t="str">
        <f>DERS_PLANI!G40</f>
        <v>YBS 362 MÜZAKERE TEKNİKLERİ
DOÇ.DR. MÜNEVVER BAYAR</v>
      </c>
      <c r="D11" s="164" t="str">
        <f>DERS_PLANI!O40</f>
        <v xml:space="preserve"> CMM 186 İklim Değişikliği ve Ekonomi</v>
      </c>
      <c r="E11" s="164">
        <f>DERS_PLANI!J52</f>
        <v>0</v>
      </c>
      <c r="F11" s="175" t="str">
        <f>DERS_PLANI!J64</f>
        <v>SPAN 102 (02)
(Öğr. Gör. Ersoy)</v>
      </c>
    </row>
    <row r="12" spans="1:6" ht="24" customHeight="1">
      <c r="A12" s="196" t="s">
        <v>705</v>
      </c>
      <c r="B12" s="164">
        <f>DERS_PLANI!J17</f>
        <v>0</v>
      </c>
      <c r="C12" s="164">
        <f>DERS_PLANI!G41</f>
        <v>0</v>
      </c>
      <c r="D12" s="164">
        <f>DERS_PLANI!J41</f>
        <v>0</v>
      </c>
      <c r="E12" s="164">
        <f>DERS_PLANI!J53</f>
        <v>0</v>
      </c>
      <c r="F12" s="175">
        <f>DERS_PLANI!J65</f>
        <v>0</v>
      </c>
    </row>
    <row r="13" spans="1:6" ht="24" customHeight="1">
      <c r="A13" s="196" t="s">
        <v>703</v>
      </c>
      <c r="B13" s="164">
        <f>DERS_PLANI!J18</f>
        <v>0</v>
      </c>
      <c r="C13" s="164">
        <f>DERS_PLANI!G42</f>
        <v>0</v>
      </c>
      <c r="D13" s="164">
        <f>DERS_PLANI!J42</f>
        <v>0</v>
      </c>
      <c r="E13" s="164">
        <f>DERS_PLANI!J54</f>
        <v>0</v>
      </c>
      <c r="F13" s="175">
        <f>DERS_PLANI!J66</f>
        <v>0</v>
      </c>
    </row>
    <row r="14" spans="1:6" ht="24" customHeight="1">
      <c r="A14" s="196" t="s">
        <v>704</v>
      </c>
      <c r="B14" s="164">
        <f>DERS_PLANI!J19</f>
        <v>0</v>
      </c>
      <c r="C14" s="164">
        <f>DERS_PLANI!G43</f>
        <v>0</v>
      </c>
      <c r="D14" s="164">
        <f>DERS_PLANI!J43</f>
        <v>0</v>
      </c>
      <c r="E14" s="164">
        <f>DERS_PLANI!J55</f>
        <v>0</v>
      </c>
      <c r="F14" s="175">
        <f>DERS_PLANI!J67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7504-8B0F-46C4-B08C-49DD2587C608}">
  <sheetPr>
    <pageSetUpPr fitToPage="1"/>
  </sheetPr>
  <dimension ref="A1:F14"/>
  <sheetViews>
    <sheetView workbookViewId="0">
      <selection activeCell="D24" sqref="D24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760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DERS_PLANI!I8</f>
        <v>YBS 261 TİCARİ İSTİHBARAT 
SERTAÇ- ÖZGÜL HOCALAR</v>
      </c>
      <c r="C3" s="164" t="str">
        <f>DERS_PLANI!I20</f>
        <v>POLS 352                                                                                   (Dr. Emir)</v>
      </c>
      <c r="D3" s="164">
        <f>DERS_PLANI!I32</f>
        <v>0</v>
      </c>
      <c r="E3" s="164">
        <f>DERS_PLANI!I44</f>
        <v>0</v>
      </c>
      <c r="F3" s="175" t="str">
        <f>DERS_PLANI!I56</f>
        <v>POLS 354                                                                           (Prof. Kes Erkul)</v>
      </c>
    </row>
    <row r="4" spans="1:6" ht="24" customHeight="1">
      <c r="A4" s="196" t="s">
        <v>723</v>
      </c>
      <c r="B4" s="164" t="str">
        <f>DERS_PLANI!I9</f>
        <v>YBS 261 TİCARİ İSTİHBARAT 
SERTAÇ- ÖZGÜL HOCALAR</v>
      </c>
      <c r="C4" s="164" t="str">
        <f>DERS_PLANI!I21</f>
        <v>POLS 352                                                                                   (Dr. Emir)</v>
      </c>
      <c r="D4" s="164">
        <f>DERS_PLANI!I33</f>
        <v>0</v>
      </c>
      <c r="E4" s="164" t="str">
        <f>DERS_PLANI!I45</f>
        <v>07.05.2026-DOLU</v>
      </c>
      <c r="F4" s="175" t="str">
        <f>DERS_PLANI!I57</f>
        <v>POLS 354                                                                           (Prof. Kes Erkul)</v>
      </c>
    </row>
    <row r="5" spans="1:6" ht="24" customHeight="1">
      <c r="A5" s="196" t="s">
        <v>724</v>
      </c>
      <c r="B5" s="164" t="str">
        <f>DERS_PLANI!I10</f>
        <v>YBS 261 TİCARİ İSTİHBARAT 
SERTAÇ- ÖZGÜL HOCALAR</v>
      </c>
      <c r="C5" s="164" t="str">
        <f>DERS_PLANI!I22</f>
        <v>POLS 352                                                                                   (Dr. Emir)</v>
      </c>
      <c r="D5" s="164" t="str">
        <f>DERS_PLANI!I34</f>
        <v>OC 153 Psikolojik Destek</v>
      </c>
      <c r="E5" s="164" t="str">
        <f>DERS_PLANI!I46</f>
        <v>07.05.2026-DOLU</v>
      </c>
      <c r="F5" s="175" t="str">
        <f>DERS_PLANI!I58</f>
        <v>POLS 354                                                                           (Prof. Kes Erkul)</v>
      </c>
    </row>
    <row r="6" spans="1:6" ht="24" customHeight="1">
      <c r="A6" s="196" t="s">
        <v>725</v>
      </c>
      <c r="B6" s="164" t="str">
        <f>DERS_PLANI!I11</f>
        <v>SİMURG SENİOR</v>
      </c>
      <c r="C6" s="164" t="str">
        <f>DERS_PLANI!I23</f>
        <v>SPAN 202</v>
      </c>
      <c r="D6" s="164" t="str">
        <f>DERS_PLANI!I35</f>
        <v>SİMURG SENİOR</v>
      </c>
      <c r="E6" s="164" t="e">
        <f>DERS_PLANI!#REF!</f>
        <v>#REF!</v>
      </c>
      <c r="F6" s="175">
        <f>DERS_PLANI!I59</f>
        <v>0</v>
      </c>
    </row>
    <row r="7" spans="1:6" ht="24" customHeight="1">
      <c r="A7" s="196" t="s">
        <v>726</v>
      </c>
      <c r="B7" s="164" t="str">
        <f>DERS_PLANI!I12</f>
        <v>SİMURG SENİOR</v>
      </c>
      <c r="C7" s="164" t="str">
        <f>DERS_PLANI!I24</f>
        <v>SPAN 202</v>
      </c>
      <c r="D7" s="164" t="str">
        <f>DERS_PLANI!I36</f>
        <v>SİMURG SENİOR</v>
      </c>
      <c r="E7" s="164">
        <f>DERS_PLANI!I48</f>
        <v>0</v>
      </c>
      <c r="F7" s="175">
        <f>DERS_PLANI!I60</f>
        <v>0</v>
      </c>
    </row>
    <row r="8" spans="1:6" ht="24" customHeight="1">
      <c r="A8" s="196" t="s">
        <v>530</v>
      </c>
      <c r="B8" s="164" t="str">
        <f>DERS_PLANI!I13</f>
        <v>SİMURG SENİOR</v>
      </c>
      <c r="C8" s="164" t="str">
        <f>DERS_PLANI!I25</f>
        <v>SPAN 202</v>
      </c>
      <c r="D8" s="164" t="str">
        <f>DERS_PLANI!I37</f>
        <v>SİMURG SENİOR</v>
      </c>
      <c r="E8" s="164">
        <f>DERS_PLANI!I49</f>
        <v>0</v>
      </c>
      <c r="F8" s="175" t="str">
        <f>DERS_PLANI!I61</f>
        <v>OC 174 Advanced English Speaking</v>
      </c>
    </row>
    <row r="9" spans="1:6" ht="24" customHeight="1">
      <c r="A9" s="196" t="s">
        <v>727</v>
      </c>
      <c r="B9" s="164" t="str">
        <f>DERS_PLANI!I14</f>
        <v>SİMURG SENİOR</v>
      </c>
      <c r="C9" s="164" t="str">
        <f>DERS_PLANI!I26</f>
        <v>OC 174 Advanced English Speaking</v>
      </c>
      <c r="D9" s="164" t="str">
        <f>DERS_PLANI!I38</f>
        <v>SİMURG SENİOR</v>
      </c>
      <c r="E9" s="164" t="str">
        <f>DERS_PLANI!I50</f>
        <v>FR 102
(Öğr. Gör. Alpar Kutlucan)</v>
      </c>
      <c r="F9" s="175" t="str">
        <f>DERS_PLANI!I62</f>
        <v>OC 174 Advanced English Speaking</v>
      </c>
    </row>
    <row r="10" spans="1:6" ht="24" customHeight="1">
      <c r="A10" s="196" t="s">
        <v>728</v>
      </c>
      <c r="B10" s="164" t="str">
        <f>DERS_PLANI!I15</f>
        <v>SİMURG SEÇMELİ RUSÇA</v>
      </c>
      <c r="C10" s="164">
        <f>DERS_PLANI!I27</f>
        <v>0</v>
      </c>
      <c r="D10" s="164">
        <f>DERS_PLANI!I39</f>
        <v>0</v>
      </c>
      <c r="E10" s="164" t="str">
        <f>DERS_PLANI!I51</f>
        <v>FR 102
(Öğr. Gör. Alpar Kutlucan)</v>
      </c>
      <c r="F10" s="175" t="str">
        <f>DERS_PLANI!I63</f>
        <v>OC 174 Advanced English Speaking</v>
      </c>
    </row>
    <row r="11" spans="1:6" ht="24" customHeight="1">
      <c r="A11" s="196" t="s">
        <v>544</v>
      </c>
      <c r="B11" s="164">
        <f>DERS_PLANI!I16</f>
        <v>0</v>
      </c>
      <c r="C11" s="164">
        <f>DERS_PLANI!I28</f>
        <v>0</v>
      </c>
      <c r="D11" s="164" t="str">
        <f>DERS_PLANI!I40</f>
        <v>SİMURG SEÇMELİ İLETİŞİM</v>
      </c>
      <c r="E11" s="164" t="str">
        <f>DERS_PLANI!I52</f>
        <v>FR 102
(Öğr. Gör. Alpar Kutlucan)</v>
      </c>
      <c r="F11" s="175">
        <f>DERS_PLANI!I64</f>
        <v>0</v>
      </c>
    </row>
    <row r="12" spans="1:6" ht="24" customHeight="1">
      <c r="A12" s="196" t="s">
        <v>705</v>
      </c>
      <c r="B12" s="164" t="str">
        <f>DERS_PLANI!I17</f>
        <v>BUS 507
(Assoc. Prof. Topcu)</v>
      </c>
      <c r="C12" s="164">
        <f>DERS_PLANI!I29</f>
        <v>0</v>
      </c>
      <c r="D12" s="164" t="str">
        <f>DERS_PLANI!I41</f>
        <v>ISL 512 
(Prof. Meydan)</v>
      </c>
      <c r="E12" s="164" t="str">
        <f>DERS_PLANI!I53</f>
        <v>MIS 512
(Dr. Kalkan)</v>
      </c>
      <c r="F12" s="175" t="str">
        <f>DERS_PLANI!I65</f>
        <v>MIS 510
(Dr. Özgül)</v>
      </c>
    </row>
    <row r="13" spans="1:6" ht="24" customHeight="1">
      <c r="A13" s="196" t="s">
        <v>703</v>
      </c>
      <c r="B13" s="164" t="str">
        <f>DERS_PLANI!I18</f>
        <v>BUS 507
(Assoc. Prof. Topcu)</v>
      </c>
      <c r="C13" s="164">
        <f>DERS_PLANI!I30</f>
        <v>0</v>
      </c>
      <c r="D13" s="164" t="str">
        <f>DERS_PLANI!I42</f>
        <v>ISL 512 
(Prof. Meydan)</v>
      </c>
      <c r="E13" s="164" t="str">
        <f>DERS_PLANI!I54</f>
        <v>MIS 512
(Dr. Kalkan)</v>
      </c>
      <c r="F13" s="175" t="str">
        <f>DERS_PLANI!I66</f>
        <v>MIS 510
(Dr. Özgül)</v>
      </c>
    </row>
    <row r="14" spans="1:6" ht="24" customHeight="1">
      <c r="A14" s="196" t="s">
        <v>704</v>
      </c>
      <c r="B14" s="164" t="str">
        <f>DERS_PLANI!I19</f>
        <v>BUS 507
(Assoc. Prof. Topcu)</v>
      </c>
      <c r="C14" s="164">
        <f>DERS_PLANI!I31</f>
        <v>0</v>
      </c>
      <c r="D14" s="164" t="str">
        <f>DERS_PLANI!I43</f>
        <v>ISL 512 
(Prof. Meydan)</v>
      </c>
      <c r="E14" s="164" t="str">
        <f>DERS_PLANI!I55</f>
        <v>MIS 512
(Dr. Kalkan)</v>
      </c>
      <c r="F14" s="175" t="str">
        <f>DERS_PLANI!I67</f>
        <v>MIS 510
(Dr. Özgül)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83A7-8B9E-4796-9FB9-847ECCB2405D}">
  <sheetPr>
    <pageSetUpPr fitToPage="1"/>
  </sheetPr>
  <dimension ref="A1:F14"/>
  <sheetViews>
    <sheetView workbookViewId="0">
      <selection activeCell="E6" sqref="E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761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164" t="str">
        <f>DERS_PLANI!H8</f>
        <v>ETI 208 
(Dr. Akbay)</v>
      </c>
      <c r="C3" s="164" t="str">
        <f>DERS_PLANI!H20</f>
        <v xml:space="preserve"> MIS 469
(Dr. Kandemir)</v>
      </c>
      <c r="D3" s="164" t="str">
        <f>DERS_PLANI!H32</f>
        <v>PSİ 454</v>
      </c>
      <c r="E3" s="164" t="str">
        <f>DERS_PLANI!H44</f>
        <v>YBS 312 BİLGİ SİSTEMLERİ
DR. MURAT BAŞEĞMEZ</v>
      </c>
      <c r="F3" s="175" t="str">
        <f>DERS_PLANI!H56</f>
        <v>KOR 102
(Öğr. Gör. Yıldız)</v>
      </c>
    </row>
    <row r="4" spans="1:6" ht="24" customHeight="1">
      <c r="A4" s="196" t="s">
        <v>723</v>
      </c>
      <c r="B4" s="164" t="str">
        <f>DERS_PLANI!H9</f>
        <v>ETI 208 
(Dr. Akbay)</v>
      </c>
      <c r="C4" s="164" t="str">
        <f>DERS_PLANI!H21</f>
        <v xml:space="preserve"> MIS 469
(Dr. Kandemir)</v>
      </c>
      <c r="D4" s="164" t="str">
        <f>DERS_PLANI!H33</f>
        <v>PSİ 454</v>
      </c>
      <c r="E4" s="164" t="str">
        <f>DERS_PLANI!H45</f>
        <v>YBS 312 BİLGİ SİSTEMLERİ
DR. MURAT BAŞEĞMEZ</v>
      </c>
      <c r="F4" s="175" t="str">
        <f>DERS_PLANI!H57</f>
        <v>KOR 102
(Öğr. Gör. Yıldız)</v>
      </c>
    </row>
    <row r="5" spans="1:6" ht="24" customHeight="1">
      <c r="A5" s="196" t="s">
        <v>724</v>
      </c>
      <c r="B5" s="164" t="str">
        <f>DERS_PLANI!H10</f>
        <v>ETI 208 
(Dr. Akbay)</v>
      </c>
      <c r="C5" s="164" t="str">
        <f>DERS_PLANI!H22</f>
        <v xml:space="preserve"> MIS 469
(Dr. Kandemir)</v>
      </c>
      <c r="D5" s="164" t="str">
        <f>DERS_PLANI!H34</f>
        <v>PSİ 454</v>
      </c>
      <c r="E5" s="164" t="str">
        <f>DERS_PLANI!H46</f>
        <v>YBS 312 BİLGİ SİSTEMLERİ
DR. MURAT BAŞEĞMEZ</v>
      </c>
      <c r="F5" s="175" t="str">
        <f>DERS_PLANI!H58</f>
        <v>KOR 102
(Öğr. Gör. Yıldız)</v>
      </c>
    </row>
    <row r="6" spans="1:6" ht="24" customHeight="1">
      <c r="A6" s="196" t="s">
        <v>725</v>
      </c>
      <c r="B6" s="164" t="str">
        <f>DERS_PLANI!H11</f>
        <v>CMM 176 Psikopatik Çağda İnsan</v>
      </c>
      <c r="C6" s="164" t="str">
        <f>DERS_PLANI!H23</f>
        <v>YBS 352 SOSYAL GİRİŞİMCİLİK
FUAT GÜNEY</v>
      </c>
      <c r="D6" s="164">
        <f>DERS_PLANI!H35</f>
        <v>0</v>
      </c>
      <c r="E6" s="164" t="str">
        <f>DERS_PLANI!H47</f>
        <v xml:space="preserve">PSY 454 </v>
      </c>
      <c r="F6" s="175">
        <f>DERS_PLANI!H59</f>
        <v>0</v>
      </c>
    </row>
    <row r="7" spans="1:6" ht="24" customHeight="1">
      <c r="A7" s="196" t="s">
        <v>726</v>
      </c>
      <c r="B7" s="164" t="str">
        <f>DERS_PLANI!H12</f>
        <v>CMM 176 Psikopatik Çağda İnsan</v>
      </c>
      <c r="C7" s="164" t="str">
        <f>DERS_PLANI!H24</f>
        <v>YBS 352 SOSYAL GİRİŞİMCİLİK
FUAT GÜNEY</v>
      </c>
      <c r="D7" s="164" t="str">
        <f>DERS_PLANI!H36</f>
        <v>HUK308</v>
      </c>
      <c r="E7" s="164" t="str">
        <f>DERS_PLANI!H48</f>
        <v xml:space="preserve">PSY 454 </v>
      </c>
      <c r="F7" s="175">
        <f>DERS_PLANI!H60</f>
        <v>0</v>
      </c>
    </row>
    <row r="8" spans="1:6" ht="24" customHeight="1">
      <c r="A8" s="196" t="s">
        <v>530</v>
      </c>
      <c r="B8" s="164" t="str">
        <f>DERS_PLANI!H13</f>
        <v>CMM 176 Psikopatik Çağda İnsan</v>
      </c>
      <c r="C8" s="164" t="str">
        <f>DERS_PLANI!H25</f>
        <v>YBS 352 SOSYAL GİRİŞİMCİLİK
FUAT GÜNEY</v>
      </c>
      <c r="D8" s="164" t="str">
        <f>DERS_PLANI!H37</f>
        <v>HUK308</v>
      </c>
      <c r="E8" s="164" t="str">
        <f>DERS_PLANI!H49</f>
        <v xml:space="preserve">PSY 454 </v>
      </c>
      <c r="F8" s="175">
        <f>DERS_PLANI!H61</f>
        <v>0</v>
      </c>
    </row>
    <row r="9" spans="1:6" ht="24" customHeight="1">
      <c r="A9" s="196" t="s">
        <v>727</v>
      </c>
      <c r="B9" s="164">
        <f>DERS_PLANI!H14</f>
        <v>0</v>
      </c>
      <c r="C9" s="164" t="str">
        <f>DERS_PLANI!H26</f>
        <v>PSİ 451</v>
      </c>
      <c r="D9" s="164">
        <f>DERS_PLANI!H38</f>
        <v>0</v>
      </c>
      <c r="E9" s="164">
        <f>DERS_PLANI!H50</f>
        <v>0</v>
      </c>
      <c r="F9" s="175">
        <f>DERS_PLANI!H62</f>
        <v>0</v>
      </c>
    </row>
    <row r="10" spans="1:6" ht="24" customHeight="1">
      <c r="A10" s="196" t="s">
        <v>728</v>
      </c>
      <c r="B10" s="164">
        <f>DERS_PLANI!H15</f>
        <v>0</v>
      </c>
      <c r="C10" s="164" t="str">
        <f>DERS_PLANI!H27</f>
        <v>PSİ 451</v>
      </c>
      <c r="D10" s="164">
        <f>DERS_PLANI!H39</f>
        <v>0</v>
      </c>
      <c r="E10" s="164">
        <f>DERS_PLANI!H51</f>
        <v>0</v>
      </c>
      <c r="F10" s="175">
        <f>DERS_PLANI!H63</f>
        <v>0</v>
      </c>
    </row>
    <row r="11" spans="1:6" ht="24" customHeight="1">
      <c r="A11" s="196" t="s">
        <v>544</v>
      </c>
      <c r="B11" s="164">
        <f>DERS_PLANI!H16</f>
        <v>0</v>
      </c>
      <c r="C11" s="164" t="str">
        <f>DERS_PLANI!H28</f>
        <v>PSİ 451</v>
      </c>
      <c r="D11" s="164">
        <f>DERS_PLANI!H40</f>
        <v>0</v>
      </c>
      <c r="E11" s="164">
        <f>DERS_PLANI!H52</f>
        <v>0</v>
      </c>
      <c r="F11" s="175">
        <f>DERS_PLANI!H64</f>
        <v>0</v>
      </c>
    </row>
    <row r="12" spans="1:6" ht="24" customHeight="1">
      <c r="A12" s="196" t="s">
        <v>705</v>
      </c>
      <c r="B12" s="164">
        <f>DERS_PLANI!H17</f>
        <v>0</v>
      </c>
      <c r="C12" s="164">
        <f>DERS_PLANI!H29</f>
        <v>0</v>
      </c>
      <c r="D12" s="164">
        <f>DERS_PLANI!H41</f>
        <v>0</v>
      </c>
      <c r="E12" s="164">
        <f>DERS_PLANI!H53</f>
        <v>0</v>
      </c>
      <c r="F12" s="175">
        <f>DERS_PLANI!H65</f>
        <v>0</v>
      </c>
    </row>
    <row r="13" spans="1:6" ht="24" customHeight="1">
      <c r="A13" s="196" t="s">
        <v>703</v>
      </c>
      <c r="B13" s="164">
        <f>DERS_PLANI!H18</f>
        <v>0</v>
      </c>
      <c r="C13" s="164">
        <f>DERS_PLANI!H30</f>
        <v>0</v>
      </c>
      <c r="D13" s="164">
        <f>DERS_PLANI!H42</f>
        <v>0</v>
      </c>
      <c r="E13" s="164">
        <f>DERS_PLANI!H54</f>
        <v>0</v>
      </c>
      <c r="F13" s="175">
        <f>DERS_PLANI!H66</f>
        <v>0</v>
      </c>
    </row>
    <row r="14" spans="1:6" ht="24" customHeight="1">
      <c r="A14" s="196" t="s">
        <v>704</v>
      </c>
      <c r="B14" s="164">
        <f>DERS_PLANI!H19</f>
        <v>0</v>
      </c>
      <c r="C14" s="164">
        <f>DERS_PLANI!H31</f>
        <v>0</v>
      </c>
      <c r="D14" s="164">
        <f>DERS_PLANI!H43</f>
        <v>0</v>
      </c>
      <c r="E14" s="164">
        <f>DERS_PLANI!H55</f>
        <v>0</v>
      </c>
      <c r="F14" s="175">
        <f>DERS_PLANI!H67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0922-DAF9-4BC2-A923-C35FF5110905}">
  <sheetPr>
    <pageSetUpPr fitToPage="1"/>
  </sheetPr>
  <dimension ref="A1:F14"/>
  <sheetViews>
    <sheetView topLeftCell="B1" workbookViewId="0">
      <selection activeCell="F7" sqref="F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59" t="s">
        <v>762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314">
        <f>DERS_PLANI!G8</f>
        <v>0</v>
      </c>
      <c r="C3" s="66">
        <f>DERS_PLANI!G20</f>
        <v>0</v>
      </c>
      <c r="D3" s="66" t="str">
        <f>DERS_PLANI!G32</f>
        <v>MIS 362
(Lect. Yolcu)</v>
      </c>
      <c r="E3" s="66" t="str">
        <f>DERS_PLANI!G44</f>
        <v>SPAN 302
(Öğr. Gör. Ersoy)</v>
      </c>
      <c r="F3" s="67" t="str">
        <f>DERS_PLANI!G56</f>
        <v>GER 102 (01)
(Öğr. Gör. Yılmaz)</v>
      </c>
    </row>
    <row r="4" spans="1:6" ht="24" customHeight="1">
      <c r="A4" s="196" t="s">
        <v>723</v>
      </c>
      <c r="B4" s="314">
        <f>DERS_PLANI!G9</f>
        <v>0</v>
      </c>
      <c r="C4" s="66">
        <f>DERS_PLANI!G21</f>
        <v>0</v>
      </c>
      <c r="D4" s="66" t="str">
        <f>DERS_PLANI!G33</f>
        <v>MIS 362
(Lect. Yolcu)</v>
      </c>
      <c r="E4" s="66" t="str">
        <f>DERS_PLANI!G45</f>
        <v>SPAN 302
(Öğr. Gör. Ersoy)</v>
      </c>
      <c r="F4" s="67" t="str">
        <f>DERS_PLANI!G57</f>
        <v>GER 102 (01)
(Öğr. Gör. Yılmaz)</v>
      </c>
    </row>
    <row r="5" spans="1:6" ht="24" customHeight="1">
      <c r="A5" s="196" t="s">
        <v>724</v>
      </c>
      <c r="B5" s="314">
        <f>DERS_PLANI!G10</f>
        <v>0</v>
      </c>
      <c r="C5" s="66">
        <f>DERS_PLANI!G22</f>
        <v>0</v>
      </c>
      <c r="D5" s="66" t="str">
        <f>DERS_PLANI!G34</f>
        <v>MIS 362
(Lect. Yolcu)</v>
      </c>
      <c r="E5" s="66" t="str">
        <f>DERS_PLANI!G46</f>
        <v>SPAN 302
(Öğr. Gör. Ersoy)</v>
      </c>
      <c r="F5" s="67" t="str">
        <f>DERS_PLANI!G58</f>
        <v>GER 102 (01)
(Öğr. Gör. Yılmaz)</v>
      </c>
    </row>
    <row r="6" spans="1:6" ht="24" customHeight="1">
      <c r="A6" s="196" t="s">
        <v>725</v>
      </c>
      <c r="B6" s="66">
        <f>DERS_PLANI!G11</f>
        <v>0</v>
      </c>
      <c r="C6" s="66" t="str">
        <f>DERS_PLANI!G23</f>
        <v>MIS 363 
(Assoc. Prof. Metin)</v>
      </c>
      <c r="D6" s="66" t="str">
        <f>DERS_PLANI!G35</f>
        <v>POLS 308                                                                                     (Dr. Aslaner)</v>
      </c>
      <c r="E6" s="314" t="str">
        <f>DERS_PLANI!G47</f>
        <v>POLS 102                                                                            (Assoc. Prof. Köni)</v>
      </c>
      <c r="F6" s="67">
        <f>DERS_PLANI!G59</f>
        <v>0</v>
      </c>
    </row>
    <row r="7" spans="1:6" ht="24" customHeight="1">
      <c r="A7" s="196" t="s">
        <v>726</v>
      </c>
      <c r="B7" s="66">
        <f>DERS_PLANI!G12</f>
        <v>0</v>
      </c>
      <c r="C7" s="66" t="str">
        <f>DERS_PLANI!G24</f>
        <v>MIS 363 
(Assoc. Prof. Metin)</v>
      </c>
      <c r="D7" s="66" t="str">
        <f>DERS_PLANI!G36</f>
        <v>POLS 308                                                                                     (Dr. Aslaner)</v>
      </c>
      <c r="E7" s="314" t="str">
        <f>DERS_PLANI!G48</f>
        <v>POLS 102                                                                            (Assoc. Prof. Köni)</v>
      </c>
      <c r="F7" s="67">
        <f>DERS_PLANI!G60</f>
        <v>0</v>
      </c>
    </row>
    <row r="8" spans="1:6" ht="24" customHeight="1">
      <c r="A8" s="196" t="s">
        <v>530</v>
      </c>
      <c r="B8" s="66">
        <f>DERS_PLANI!G13</f>
        <v>0</v>
      </c>
      <c r="C8" s="66" t="str">
        <f>DERS_PLANI!G25</f>
        <v>MIS 363 
(Assoc. Prof. Metin)</v>
      </c>
      <c r="D8" s="66" t="str">
        <f>DERS_PLANI!G37</f>
        <v>POLS 308                                                                                     (Dr. Aslaner)</v>
      </c>
      <c r="E8" s="314" t="str">
        <f>DERS_PLANI!G49</f>
        <v>POLS 102                                                                            (Assoc. Prof. Köni)</v>
      </c>
      <c r="F8" s="67">
        <f>DERS_PLANI!G61</f>
        <v>0</v>
      </c>
    </row>
    <row r="9" spans="1:6" ht="24" customHeight="1">
      <c r="A9" s="196" t="s">
        <v>727</v>
      </c>
      <c r="B9" s="66" t="str">
        <f>DERS_PLANI!G14</f>
        <v xml:space="preserve">	CMM 174	Media, Politics and Power</v>
      </c>
      <c r="C9" s="66" t="str">
        <f>DERS_PLANI!G26</f>
        <v>CMM 208 Turkish Political History</v>
      </c>
      <c r="D9" s="314" t="str">
        <f>DERS_PLANI!G38</f>
        <v>YBS 362 MÜZAKERE TEKNİKLERİ
DOÇ.DR. MÜNEVVER BAYAR</v>
      </c>
      <c r="E9" s="66" t="str">
        <f>DERS_PLANI!G50</f>
        <v>SPAN 202
(Öğr. Gör. Ersoy)</v>
      </c>
      <c r="F9" s="67" t="str">
        <f>DERS_PLANI!G62</f>
        <v>GER 102 (02)
(Öğr. Gör. Yılmaz)</v>
      </c>
    </row>
    <row r="10" spans="1:6" ht="24" customHeight="1">
      <c r="A10" s="197" t="s">
        <v>728</v>
      </c>
      <c r="B10" s="66" t="str">
        <f>DERS_PLANI!G15</f>
        <v xml:space="preserve">	CMM 174	Media, Politics and Power</v>
      </c>
      <c r="C10" s="66" t="str">
        <f>DERS_PLANI!G27</f>
        <v>CMM 208 Turkish Political History</v>
      </c>
      <c r="D10" s="314" t="str">
        <f>DERS_PLANI!G39</f>
        <v>YBS 362 MÜZAKERE TEKNİKLERİ
DOÇ.DR. MÜNEVVER BAYAR</v>
      </c>
      <c r="E10" s="66" t="str">
        <f>DERS_PLANI!G51</f>
        <v>SPAN 202
(Öğr. Gör. Ersoy)</v>
      </c>
      <c r="F10" s="67" t="str">
        <f>DERS_PLANI!G63</f>
        <v>GER 102 (02)
(Öğr. Gör. Yılmaz)</v>
      </c>
    </row>
    <row r="11" spans="1:6" ht="24" customHeight="1">
      <c r="A11" s="198" t="s">
        <v>544</v>
      </c>
      <c r="B11" s="66" t="str">
        <f>DERS_PLANI!G16</f>
        <v xml:space="preserve">	CMM 174	Media, Politics and Power</v>
      </c>
      <c r="C11" s="66" t="str">
        <f>DERS_PLANI!G28</f>
        <v>CMM 208 Turkish Political History</v>
      </c>
      <c r="D11" s="314" t="str">
        <f>DERS_PLANI!G40</f>
        <v>YBS 362 MÜZAKERE TEKNİKLERİ
DOÇ.DR. MÜNEVVER BAYAR</v>
      </c>
      <c r="E11" s="66" t="str">
        <f>DERS_PLANI!G52</f>
        <v>SPAN 202
(Öğr. Gör. Ersoy)</v>
      </c>
      <c r="F11" s="67" t="str">
        <f>DERS_PLANI!G64</f>
        <v>GER 102 (02)
(Öğr. Gör. Yılmaz)</v>
      </c>
    </row>
    <row r="12" spans="1:6" ht="24" customHeight="1">
      <c r="A12" s="197" t="s">
        <v>705</v>
      </c>
      <c r="B12" s="66">
        <f>DERS_PLANI!G17</f>
        <v>0</v>
      </c>
      <c r="C12" s="66">
        <f>DERS_PLANI!G29</f>
        <v>0</v>
      </c>
      <c r="D12" s="66">
        <f>DERS_PLANI!G41</f>
        <v>0</v>
      </c>
      <c r="E12" s="66">
        <f>DERS_PLANI!G53</f>
        <v>0</v>
      </c>
      <c r="F12" s="67">
        <f>DERS_PLANI!G65</f>
        <v>0</v>
      </c>
    </row>
    <row r="13" spans="1:6" ht="24" customHeight="1">
      <c r="A13" s="197" t="s">
        <v>703</v>
      </c>
      <c r="B13" s="66">
        <f>DERS_PLANI!G18</f>
        <v>0</v>
      </c>
      <c r="C13" s="66">
        <f>DERS_PLANI!G30</f>
        <v>0</v>
      </c>
      <c r="D13" s="66">
        <f>DERS_PLANI!G42</f>
        <v>0</v>
      </c>
      <c r="E13" s="66">
        <f>DERS_PLANI!G54</f>
        <v>0</v>
      </c>
      <c r="F13" s="67">
        <f>DERS_PLANI!G66</f>
        <v>0</v>
      </c>
    </row>
    <row r="14" spans="1:6" ht="24" customHeight="1">
      <c r="A14" s="197" t="s">
        <v>704</v>
      </c>
      <c r="B14" s="66">
        <f>DERS_PLANI!G19</f>
        <v>0</v>
      </c>
      <c r="C14" s="66">
        <f>DERS_PLANI!G31</f>
        <v>0</v>
      </c>
      <c r="D14" s="66">
        <f>DERS_PLANI!G43</f>
        <v>0</v>
      </c>
      <c r="E14" s="66">
        <f>DERS_PLANI!G55</f>
        <v>0</v>
      </c>
      <c r="F14" s="67">
        <f>DERS_PLANI!G67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79BC-521B-4E6B-A152-153ECD1F4EDD}">
  <sheetPr>
    <pageSetUpPr fitToPage="1"/>
  </sheetPr>
  <dimension ref="A1:F14"/>
  <sheetViews>
    <sheetView workbookViewId="0">
      <selection activeCell="E7" sqref="E7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 thickBot="1">
      <c r="A1" s="359" t="s">
        <v>763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DERS_PLANI!F8</f>
        <v>0</v>
      </c>
      <c r="C3" s="66">
        <f>DERS_PLANI!F20</f>
        <v>0</v>
      </c>
      <c r="D3" s="66">
        <f>DERS_PLANI!F32</f>
        <v>0</v>
      </c>
      <c r="E3" s="66">
        <f>DERS_PLANI!F44</f>
        <v>0</v>
      </c>
      <c r="F3" s="67">
        <f>DERS_PLANI!F56</f>
        <v>0</v>
      </c>
    </row>
    <row r="4" spans="1:6" ht="24" customHeight="1">
      <c r="A4" s="196" t="s">
        <v>723</v>
      </c>
      <c r="B4" s="66">
        <f>DERS_PLANI!F9</f>
        <v>0</v>
      </c>
      <c r="C4" s="66">
        <f>DERS_PLANI!F21</f>
        <v>0</v>
      </c>
      <c r="D4" s="66">
        <f>DERS_PLANI!F33</f>
        <v>0</v>
      </c>
      <c r="E4" s="66">
        <f>DERS_PLANI!F45</f>
        <v>0</v>
      </c>
      <c r="F4" s="67">
        <f>DERS_PLANI!F57</f>
        <v>0</v>
      </c>
    </row>
    <row r="5" spans="1:6" ht="24" customHeight="1">
      <c r="A5" s="196" t="s">
        <v>724</v>
      </c>
      <c r="B5" s="66">
        <f>DERS_PLANI!F10</f>
        <v>0</v>
      </c>
      <c r="C5" s="66">
        <f>DERS_PLANI!F22</f>
        <v>0</v>
      </c>
      <c r="D5" s="66">
        <f>DERS_PLANI!F34</f>
        <v>0</v>
      </c>
      <c r="E5" s="66">
        <f>DERS_PLANI!F46</f>
        <v>0</v>
      </c>
      <c r="F5" s="67">
        <f>DERS_PLANI!F58</f>
        <v>0</v>
      </c>
    </row>
    <row r="6" spans="1:6" ht="24" customHeight="1">
      <c r="A6" s="196" t="s">
        <v>725</v>
      </c>
      <c r="B6" s="66">
        <f>DERS_PLANI!F11</f>
        <v>0</v>
      </c>
      <c r="C6" s="66">
        <f>DERS_PLANI!F23</f>
        <v>0</v>
      </c>
      <c r="D6" s="66">
        <f>DERS_PLANI!F35</f>
        <v>0</v>
      </c>
      <c r="E6" s="66">
        <f>DERS_PLANI!F47</f>
        <v>0</v>
      </c>
      <c r="F6" s="67">
        <f>DERS_PLANI!F59</f>
        <v>0</v>
      </c>
    </row>
    <row r="7" spans="1:6" ht="24" customHeight="1">
      <c r="A7" s="196" t="s">
        <v>726</v>
      </c>
      <c r="B7" s="66">
        <f>DERS_PLANI!F12</f>
        <v>0</v>
      </c>
      <c r="C7" s="66">
        <f>DERS_PLANI!F24</f>
        <v>0</v>
      </c>
      <c r="D7" s="66">
        <f>DERS_PLANI!F36</f>
        <v>0</v>
      </c>
      <c r="E7" s="66">
        <f>DERS_PLANI!F48</f>
        <v>0</v>
      </c>
      <c r="F7" s="67">
        <f>DERS_PLANI!F60</f>
        <v>0</v>
      </c>
    </row>
    <row r="8" spans="1:6" ht="24" customHeight="1">
      <c r="A8" s="196" t="s">
        <v>530</v>
      </c>
      <c r="B8" s="66">
        <f>DERS_PLANI!F13</f>
        <v>0</v>
      </c>
      <c r="C8" s="66">
        <f>DERS_PLANI!F25</f>
        <v>0</v>
      </c>
      <c r="D8" s="66">
        <f>DERS_PLANI!F37</f>
        <v>0</v>
      </c>
      <c r="E8" s="66">
        <f>DERS_PLANI!F49</f>
        <v>0</v>
      </c>
      <c r="F8" s="67">
        <f>DERS_PLANI!F61</f>
        <v>0</v>
      </c>
    </row>
    <row r="9" spans="1:6" ht="24" customHeight="1">
      <c r="A9" s="196" t="s">
        <v>727</v>
      </c>
      <c r="B9" s="66">
        <f>DERS_PLANI!F14</f>
        <v>0</v>
      </c>
      <c r="C9" s="66">
        <f>DERS_PLANI!F26</f>
        <v>0</v>
      </c>
      <c r="D9" s="66">
        <f>DERS_PLANI!F38</f>
        <v>0</v>
      </c>
      <c r="E9" s="66">
        <f>DERS_PLANI!F50</f>
        <v>0</v>
      </c>
      <c r="F9" s="67">
        <f>DERS_PLANI!F62</f>
        <v>0</v>
      </c>
    </row>
    <row r="10" spans="1:6" ht="24" customHeight="1">
      <c r="A10" s="197" t="s">
        <v>728</v>
      </c>
      <c r="B10" s="66">
        <f>DERS_PLANI!F15</f>
        <v>0</v>
      </c>
      <c r="C10" s="66">
        <f>DERS_PLANI!F27</f>
        <v>0</v>
      </c>
      <c r="D10" s="66">
        <f>DERS_PLANI!F39</f>
        <v>0</v>
      </c>
      <c r="E10" s="66">
        <f>DERS_PLANI!F51</f>
        <v>0</v>
      </c>
      <c r="F10" s="67">
        <f>DERS_PLANI!F63</f>
        <v>0</v>
      </c>
    </row>
    <row r="11" spans="1:6" ht="24" customHeight="1">
      <c r="A11" s="198" t="s">
        <v>544</v>
      </c>
      <c r="B11" s="66">
        <f>DERS_PLANI!F16</f>
        <v>0</v>
      </c>
      <c r="C11" s="66">
        <f>DERS_PLANI!F28</f>
        <v>0</v>
      </c>
      <c r="D11" s="66">
        <f>DERS_PLANI!F40</f>
        <v>0</v>
      </c>
      <c r="E11" s="66">
        <f>DERS_PLANI!F52</f>
        <v>0</v>
      </c>
      <c r="F11" s="67">
        <f>DERS_PLANI!F64</f>
        <v>0</v>
      </c>
    </row>
    <row r="12" spans="1:6" ht="24" customHeight="1">
      <c r="A12" s="197" t="s">
        <v>705</v>
      </c>
      <c r="B12" s="66">
        <f>DERS_PLANI!F17</f>
        <v>0</v>
      </c>
      <c r="C12" s="66">
        <f>DERS_PLANI!F29</f>
        <v>0</v>
      </c>
      <c r="D12" s="66">
        <f>DERS_PLANI!F41</f>
        <v>0</v>
      </c>
      <c r="E12" s="66">
        <f>DERS_PLANI!F53</f>
        <v>0</v>
      </c>
      <c r="F12" s="67">
        <f>DERS_PLANI!F65</f>
        <v>0</v>
      </c>
    </row>
    <row r="13" spans="1:6" ht="24" customHeight="1">
      <c r="A13" s="197" t="s">
        <v>703</v>
      </c>
      <c r="B13" s="66">
        <f>DERS_PLANI!F18</f>
        <v>0</v>
      </c>
      <c r="C13" s="66">
        <f>DERS_PLANI!F30</f>
        <v>0</v>
      </c>
      <c r="D13" s="66">
        <f>DERS_PLANI!F42</f>
        <v>0</v>
      </c>
      <c r="E13" s="66">
        <f>DERS_PLANI!F54</f>
        <v>0</v>
      </c>
      <c r="F13" s="67">
        <f>DERS_PLANI!F66</f>
        <v>0</v>
      </c>
    </row>
    <row r="14" spans="1:6" ht="24" customHeight="1">
      <c r="A14" s="197" t="s">
        <v>704</v>
      </c>
      <c r="B14" s="66">
        <f>DERS_PLANI!F19</f>
        <v>0</v>
      </c>
      <c r="C14" s="66">
        <f>DERS_PLANI!F31</f>
        <v>0</v>
      </c>
      <c r="D14" s="66">
        <f>DERS_PLANI!F43</f>
        <v>0</v>
      </c>
      <c r="E14" s="66">
        <f>DERS_PLANI!F55</f>
        <v>0</v>
      </c>
      <c r="F14" s="67">
        <f>DERS_PLANI!F67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C2C1-EBE0-41A3-A3D9-86DB8CC95426}">
  <sheetPr>
    <pageSetUpPr fitToPage="1"/>
  </sheetPr>
  <dimension ref="A1:P34"/>
  <sheetViews>
    <sheetView topLeftCell="A20" workbookViewId="0">
      <selection activeCell="P11" sqref="P11"/>
    </sheetView>
  </sheetViews>
  <sheetFormatPr defaultColWidth="8.875" defaultRowHeight="15.75" customHeight="1"/>
  <cols>
    <col min="3" max="3" width="11.125" customWidth="1"/>
    <col min="4" max="4" width="10.375" customWidth="1"/>
    <col min="7" max="7" width="17.125" customWidth="1"/>
    <col min="9" max="9" width="11.625" bestFit="1" customWidth="1"/>
  </cols>
  <sheetData>
    <row r="1" spans="1:16" ht="15.95">
      <c r="A1" s="377"/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9"/>
      <c r="O1" s="29"/>
      <c r="P1" s="29"/>
    </row>
    <row r="2" spans="1:16" ht="15.95">
      <c r="A2" s="375" t="s">
        <v>764</v>
      </c>
      <c r="B2" s="370"/>
      <c r="C2" s="370"/>
      <c r="D2" s="376"/>
      <c r="E2" s="54"/>
      <c r="F2" s="372" t="s">
        <v>765</v>
      </c>
      <c r="G2" s="373"/>
      <c r="H2" s="373"/>
      <c r="I2" s="374"/>
      <c r="J2" s="55"/>
      <c r="K2" s="369" t="s">
        <v>766</v>
      </c>
      <c r="L2" s="370"/>
      <c r="M2" s="370"/>
      <c r="N2" s="371"/>
      <c r="O2" s="3"/>
    </row>
    <row r="3" spans="1:16" ht="15.95" customHeight="1">
      <c r="A3" s="30" t="s">
        <v>4</v>
      </c>
      <c r="B3" s="5"/>
      <c r="C3" s="4" t="s">
        <v>6</v>
      </c>
      <c r="D3" s="4"/>
      <c r="E3" s="56"/>
      <c r="F3" s="4" t="s">
        <v>4</v>
      </c>
      <c r="G3" s="4"/>
      <c r="H3" s="4" t="s">
        <v>6</v>
      </c>
      <c r="I3" s="4"/>
      <c r="J3" s="55"/>
      <c r="K3" s="4" t="s">
        <v>4</v>
      </c>
      <c r="L3" s="4"/>
      <c r="M3" s="4" t="s">
        <v>6</v>
      </c>
      <c r="N3" s="31"/>
      <c r="O3" s="6"/>
    </row>
    <row r="4" spans="1:16" ht="15.95">
      <c r="A4" s="32" t="s">
        <v>7</v>
      </c>
      <c r="B4" s="7" t="s">
        <v>8</v>
      </c>
      <c r="C4" s="7">
        <v>20</v>
      </c>
      <c r="D4" s="18" t="s">
        <v>16</v>
      </c>
      <c r="E4" s="57"/>
      <c r="F4" s="7" t="s">
        <v>9</v>
      </c>
      <c r="G4" s="7" t="s">
        <v>10</v>
      </c>
      <c r="H4" s="7">
        <v>35</v>
      </c>
      <c r="I4" s="59" t="s">
        <v>767</v>
      </c>
      <c r="J4" s="55"/>
      <c r="K4" s="7" t="s">
        <v>12</v>
      </c>
      <c r="L4" s="7"/>
      <c r="M4" s="7">
        <v>30</v>
      </c>
      <c r="N4" s="34" t="s">
        <v>23</v>
      </c>
      <c r="O4" s="9"/>
    </row>
    <row r="5" spans="1:16" ht="15.95">
      <c r="A5" s="32" t="s">
        <v>14</v>
      </c>
      <c r="B5" s="8" t="s">
        <v>768</v>
      </c>
      <c r="C5" s="7">
        <v>50</v>
      </c>
      <c r="D5" s="7"/>
      <c r="E5" s="57"/>
      <c r="F5" s="7" t="s">
        <v>17</v>
      </c>
      <c r="G5" s="7"/>
      <c r="H5" s="7">
        <v>30</v>
      </c>
      <c r="I5" s="23" t="s">
        <v>13</v>
      </c>
      <c r="J5" s="55"/>
      <c r="K5" s="7" t="s">
        <v>18</v>
      </c>
      <c r="L5" s="7"/>
      <c r="M5" s="7">
        <v>25</v>
      </c>
      <c r="N5" s="33" t="s">
        <v>13</v>
      </c>
      <c r="O5" s="9"/>
    </row>
    <row r="6" spans="1:16" ht="15.95">
      <c r="A6" s="32" t="s">
        <v>19</v>
      </c>
      <c r="B6" s="8"/>
      <c r="C6" s="7">
        <v>50</v>
      </c>
      <c r="D6" s="22" t="s">
        <v>46</v>
      </c>
      <c r="E6" s="57"/>
      <c r="F6" s="7" t="s">
        <v>21</v>
      </c>
      <c r="G6" s="7"/>
      <c r="H6" s="7">
        <v>30</v>
      </c>
      <c r="I6" s="23" t="s">
        <v>13</v>
      </c>
      <c r="J6" s="55"/>
      <c r="K6" s="7" t="s">
        <v>24</v>
      </c>
      <c r="L6" s="7"/>
      <c r="M6" s="7">
        <v>25</v>
      </c>
      <c r="N6" s="33" t="s">
        <v>13</v>
      </c>
      <c r="O6" s="9"/>
    </row>
    <row r="7" spans="1:16" ht="15.95">
      <c r="A7" s="32" t="s">
        <v>25</v>
      </c>
      <c r="B7" s="8"/>
      <c r="C7" s="7">
        <v>50</v>
      </c>
      <c r="D7" s="18" t="s">
        <v>16</v>
      </c>
      <c r="E7" s="57"/>
      <c r="F7" s="7" t="s">
        <v>26</v>
      </c>
      <c r="G7" s="7"/>
      <c r="H7" s="7">
        <v>50</v>
      </c>
      <c r="I7" s="26" t="s">
        <v>23</v>
      </c>
      <c r="J7" s="55"/>
      <c r="K7" s="7" t="s">
        <v>27</v>
      </c>
      <c r="L7" s="7"/>
      <c r="M7" s="7">
        <v>45</v>
      </c>
      <c r="N7" s="34" t="s">
        <v>23</v>
      </c>
      <c r="O7" s="6"/>
    </row>
    <row r="8" spans="1:16" ht="15.95">
      <c r="A8" s="32" t="s">
        <v>28</v>
      </c>
      <c r="B8" s="8" t="s">
        <v>29</v>
      </c>
      <c r="C8" s="7">
        <v>40</v>
      </c>
      <c r="D8" s="18" t="s">
        <v>16</v>
      </c>
      <c r="E8" s="57"/>
      <c r="F8" s="7" t="s">
        <v>30</v>
      </c>
      <c r="G8" s="7"/>
      <c r="H8" s="7">
        <v>40</v>
      </c>
      <c r="I8" s="26" t="s">
        <v>23</v>
      </c>
      <c r="J8" s="55"/>
      <c r="K8" s="7" t="s">
        <v>31</v>
      </c>
      <c r="L8" s="7"/>
      <c r="M8" s="7">
        <v>25</v>
      </c>
      <c r="N8" s="33" t="s">
        <v>13</v>
      </c>
      <c r="O8" s="9"/>
    </row>
    <row r="9" spans="1:16" ht="15.95">
      <c r="A9" s="35" t="s">
        <v>32</v>
      </c>
      <c r="B9" s="10" t="s">
        <v>33</v>
      </c>
      <c r="C9" s="15">
        <v>20</v>
      </c>
      <c r="D9" s="24" t="s">
        <v>23</v>
      </c>
      <c r="E9" s="57"/>
      <c r="F9" s="7" t="s">
        <v>34</v>
      </c>
      <c r="G9" s="7"/>
      <c r="H9" s="10">
        <v>60</v>
      </c>
      <c r="I9" s="26" t="s">
        <v>23</v>
      </c>
      <c r="J9" s="55"/>
      <c r="K9" s="7" t="s">
        <v>35</v>
      </c>
      <c r="L9" s="7"/>
      <c r="M9" s="7">
        <v>30</v>
      </c>
      <c r="N9" s="33" t="s">
        <v>13</v>
      </c>
      <c r="O9" s="9"/>
    </row>
    <row r="10" spans="1:16" ht="15.95">
      <c r="A10" s="32" t="s">
        <v>36</v>
      </c>
      <c r="B10" s="8" t="s">
        <v>37</v>
      </c>
      <c r="C10" s="11">
        <v>70</v>
      </c>
      <c r="D10" s="18" t="s">
        <v>16</v>
      </c>
      <c r="E10" s="57"/>
      <c r="F10" s="7" t="s">
        <v>38</v>
      </c>
      <c r="G10" s="7"/>
      <c r="H10" s="7">
        <v>40</v>
      </c>
      <c r="I10" s="18" t="s">
        <v>16</v>
      </c>
      <c r="J10" s="55"/>
      <c r="K10" s="7" t="s">
        <v>39</v>
      </c>
      <c r="L10" s="7"/>
      <c r="M10" s="11">
        <v>30</v>
      </c>
      <c r="N10" s="36" t="s">
        <v>13</v>
      </c>
      <c r="O10" s="9"/>
    </row>
    <row r="11" spans="1:16" ht="15.95">
      <c r="A11" s="32" t="s">
        <v>40</v>
      </c>
      <c r="B11" s="8" t="s">
        <v>41</v>
      </c>
      <c r="C11" s="7">
        <v>40</v>
      </c>
      <c r="D11" s="19" t="s">
        <v>16</v>
      </c>
      <c r="E11" s="57"/>
      <c r="F11" s="7" t="s">
        <v>42</v>
      </c>
      <c r="G11" s="7" t="s">
        <v>769</v>
      </c>
      <c r="H11" s="15">
        <v>20</v>
      </c>
      <c r="I11" s="12"/>
      <c r="J11" s="55"/>
      <c r="K11" s="7" t="s">
        <v>44</v>
      </c>
      <c r="L11" s="7"/>
      <c r="M11" s="7">
        <v>40</v>
      </c>
      <c r="N11" s="34" t="s">
        <v>23</v>
      </c>
      <c r="O11" s="6"/>
    </row>
    <row r="12" spans="1:16" ht="15.95">
      <c r="A12" s="32" t="s">
        <v>45</v>
      </c>
      <c r="B12" s="8"/>
      <c r="C12" s="11">
        <v>70</v>
      </c>
      <c r="D12" s="21" t="s">
        <v>46</v>
      </c>
      <c r="E12" s="57"/>
      <c r="F12" s="7" t="s">
        <v>770</v>
      </c>
      <c r="G12" s="7" t="s">
        <v>771</v>
      </c>
      <c r="H12" s="7">
        <v>30</v>
      </c>
      <c r="I12" s="12"/>
      <c r="J12" s="55"/>
      <c r="K12" s="7" t="s">
        <v>50</v>
      </c>
      <c r="L12" s="7"/>
      <c r="M12" s="7">
        <v>40</v>
      </c>
      <c r="N12" s="34" t="s">
        <v>23</v>
      </c>
      <c r="O12" s="9"/>
    </row>
    <row r="13" spans="1:16" ht="15.95">
      <c r="A13" s="32" t="s">
        <v>51</v>
      </c>
      <c r="B13" s="8"/>
      <c r="C13" s="11">
        <v>70</v>
      </c>
      <c r="D13" s="22" t="s">
        <v>46</v>
      </c>
      <c r="E13" s="57"/>
      <c r="F13" s="7" t="s">
        <v>52</v>
      </c>
      <c r="G13" s="7"/>
      <c r="H13" s="7">
        <v>35</v>
      </c>
      <c r="I13" s="23" t="s">
        <v>13</v>
      </c>
      <c r="J13" s="55"/>
      <c r="K13" s="7" t="s">
        <v>53</v>
      </c>
      <c r="L13" s="7"/>
      <c r="M13" s="7">
        <v>60</v>
      </c>
      <c r="N13" s="34" t="s">
        <v>23</v>
      </c>
      <c r="O13" s="9"/>
    </row>
    <row r="14" spans="1:16" ht="15.95">
      <c r="A14" s="32" t="s">
        <v>54</v>
      </c>
      <c r="B14" s="8"/>
      <c r="C14" s="11">
        <v>70</v>
      </c>
      <c r="D14" s="22" t="s">
        <v>46</v>
      </c>
      <c r="E14" s="57"/>
      <c r="F14" s="7" t="s">
        <v>55</v>
      </c>
      <c r="G14" s="7"/>
      <c r="H14" s="7">
        <v>35</v>
      </c>
      <c r="I14" s="23" t="s">
        <v>13</v>
      </c>
      <c r="J14" s="55"/>
      <c r="K14" s="7" t="s">
        <v>56</v>
      </c>
      <c r="L14" s="7"/>
      <c r="M14" s="11">
        <v>60</v>
      </c>
      <c r="N14" s="37" t="s">
        <v>23</v>
      </c>
      <c r="O14" s="9"/>
    </row>
    <row r="15" spans="1:16" ht="15.95">
      <c r="A15" s="32" t="s">
        <v>57</v>
      </c>
      <c r="B15" s="8"/>
      <c r="C15" s="11">
        <v>70</v>
      </c>
      <c r="D15" s="22" t="s">
        <v>46</v>
      </c>
      <c r="E15" s="57"/>
      <c r="F15" s="7" t="s">
        <v>58</v>
      </c>
      <c r="G15" s="7"/>
      <c r="H15" s="7">
        <v>25</v>
      </c>
      <c r="I15" s="23" t="s">
        <v>13</v>
      </c>
      <c r="J15" s="55"/>
      <c r="K15" s="7" t="s">
        <v>59</v>
      </c>
      <c r="L15" s="7"/>
      <c r="M15" s="11">
        <v>45</v>
      </c>
      <c r="N15" s="37" t="s">
        <v>23</v>
      </c>
      <c r="O15" s="9"/>
    </row>
    <row r="16" spans="1:16" ht="15.95">
      <c r="A16" s="32" t="s">
        <v>60</v>
      </c>
      <c r="B16" s="8"/>
      <c r="C16" s="11">
        <v>70</v>
      </c>
      <c r="D16" s="25" t="s">
        <v>61</v>
      </c>
      <c r="F16" s="7" t="s">
        <v>62</v>
      </c>
      <c r="G16" s="7"/>
      <c r="H16" s="7">
        <v>25</v>
      </c>
      <c r="I16" s="23" t="s">
        <v>13</v>
      </c>
      <c r="J16" s="55"/>
      <c r="K16" s="14" t="s">
        <v>63</v>
      </c>
      <c r="L16" s="14"/>
      <c r="M16" s="14" t="s">
        <v>772</v>
      </c>
      <c r="N16" s="38"/>
      <c r="O16" s="9"/>
    </row>
    <row r="17" spans="1:16" ht="15.95">
      <c r="A17" s="32" t="s">
        <v>64</v>
      </c>
      <c r="B17" s="8"/>
      <c r="C17" s="11">
        <v>80</v>
      </c>
      <c r="D17" s="20" t="s">
        <v>11</v>
      </c>
      <c r="E17" s="57"/>
      <c r="F17" s="7" t="s">
        <v>65</v>
      </c>
      <c r="G17" s="7"/>
      <c r="H17" s="7">
        <v>25</v>
      </c>
      <c r="I17" s="23" t="s">
        <v>13</v>
      </c>
      <c r="J17" s="55"/>
      <c r="K17" s="7" t="s">
        <v>66</v>
      </c>
      <c r="L17" s="7"/>
      <c r="M17" s="7" t="s">
        <v>773</v>
      </c>
      <c r="N17" s="39" t="s">
        <v>11</v>
      </c>
      <c r="O17" s="9"/>
    </row>
    <row r="18" spans="1:16" ht="15.95">
      <c r="A18" s="32" t="s">
        <v>68</v>
      </c>
      <c r="B18" s="8"/>
      <c r="C18" s="11">
        <v>80</v>
      </c>
      <c r="D18" s="20" t="s">
        <v>11</v>
      </c>
      <c r="E18" s="57"/>
      <c r="F18" s="7" t="s">
        <v>69</v>
      </c>
      <c r="G18" s="7" t="s">
        <v>774</v>
      </c>
      <c r="H18" s="7">
        <v>40</v>
      </c>
      <c r="I18" s="13"/>
      <c r="J18" s="55"/>
      <c r="K18" s="7" t="s">
        <v>71</v>
      </c>
      <c r="L18" s="7"/>
      <c r="M18" s="7" t="s">
        <v>775</v>
      </c>
      <c r="N18" s="40" t="s">
        <v>16</v>
      </c>
      <c r="O18" s="6"/>
    </row>
    <row r="19" spans="1:16" ht="15.95">
      <c r="A19" s="32" t="s">
        <v>72</v>
      </c>
      <c r="B19" s="8"/>
      <c r="C19" s="11">
        <v>80</v>
      </c>
      <c r="D19" s="21" t="s">
        <v>46</v>
      </c>
      <c r="E19" s="57"/>
      <c r="F19" s="7" t="s">
        <v>73</v>
      </c>
      <c r="G19" s="7" t="s">
        <v>776</v>
      </c>
      <c r="H19" s="7">
        <v>40</v>
      </c>
      <c r="I19" s="27" t="s">
        <v>78</v>
      </c>
      <c r="J19" s="55"/>
      <c r="K19" s="7" t="s">
        <v>75</v>
      </c>
      <c r="L19" s="7"/>
      <c r="M19" s="7" t="s">
        <v>777</v>
      </c>
      <c r="N19" s="41" t="s">
        <v>46</v>
      </c>
      <c r="O19" s="6"/>
    </row>
    <row r="20" spans="1:16" ht="15.95">
      <c r="A20" s="32" t="s">
        <v>76</v>
      </c>
      <c r="B20" s="7" t="s">
        <v>77</v>
      </c>
      <c r="C20" s="16">
        <v>10</v>
      </c>
      <c r="D20" s="27" t="s">
        <v>78</v>
      </c>
      <c r="E20" s="57"/>
      <c r="F20" s="7" t="s">
        <v>79</v>
      </c>
      <c r="G20" s="7" t="s">
        <v>778</v>
      </c>
      <c r="H20" s="7">
        <v>40</v>
      </c>
      <c r="I20" s="7"/>
      <c r="J20" s="55"/>
      <c r="K20" s="7" t="s">
        <v>81</v>
      </c>
      <c r="L20" s="7"/>
      <c r="M20" s="7" t="s">
        <v>779</v>
      </c>
      <c r="N20" s="42"/>
      <c r="O20" s="6"/>
    </row>
    <row r="21" spans="1:16" ht="15.95">
      <c r="A21" s="43" t="s">
        <v>83</v>
      </c>
      <c r="B21" s="8"/>
      <c r="C21" s="11">
        <v>40</v>
      </c>
      <c r="D21" s="27" t="s">
        <v>78</v>
      </c>
      <c r="E21" s="57"/>
      <c r="F21" s="7" t="s">
        <v>84</v>
      </c>
      <c r="G21" s="7" t="s">
        <v>780</v>
      </c>
      <c r="H21" s="7">
        <v>30</v>
      </c>
      <c r="I21" s="22" t="s">
        <v>46</v>
      </c>
      <c r="J21" s="55"/>
      <c r="N21" s="44"/>
      <c r="O21" s="9"/>
      <c r="P21" s="6"/>
    </row>
    <row r="22" spans="1:16" ht="15.95">
      <c r="A22" s="43" t="s">
        <v>86</v>
      </c>
      <c r="B22" s="8"/>
      <c r="C22" s="11">
        <v>30</v>
      </c>
      <c r="D22" s="21" t="s">
        <v>46</v>
      </c>
      <c r="E22" s="57"/>
      <c r="F22" s="7" t="s">
        <v>87</v>
      </c>
      <c r="G22" s="7" t="s">
        <v>781</v>
      </c>
      <c r="H22" s="7">
        <v>30</v>
      </c>
      <c r="I22" s="22" t="s">
        <v>46</v>
      </c>
      <c r="J22" s="55"/>
      <c r="N22" s="44"/>
      <c r="O22" s="9"/>
      <c r="P22" s="6"/>
    </row>
    <row r="23" spans="1:16" ht="15.95">
      <c r="A23" s="43" t="s">
        <v>89</v>
      </c>
      <c r="B23" s="8"/>
      <c r="C23" s="11">
        <v>49</v>
      </c>
      <c r="D23" s="27" t="s">
        <v>78</v>
      </c>
      <c r="E23" s="57"/>
      <c r="F23" s="57"/>
      <c r="G23" s="57"/>
      <c r="H23" s="57"/>
      <c r="I23" s="57"/>
      <c r="J23" s="55"/>
      <c r="N23" s="44"/>
      <c r="O23" s="6"/>
      <c r="P23" s="6"/>
    </row>
    <row r="24" spans="1:16" ht="15.95">
      <c r="A24" s="43" t="s">
        <v>90</v>
      </c>
      <c r="B24" s="8"/>
      <c r="C24" s="11">
        <v>55</v>
      </c>
      <c r="D24" s="17" t="s">
        <v>16</v>
      </c>
      <c r="E24" s="57"/>
      <c r="I24" s="57"/>
      <c r="J24" s="55"/>
      <c r="N24" s="44"/>
      <c r="O24" s="6"/>
      <c r="P24" s="6"/>
    </row>
    <row r="25" spans="1:16" ht="15.95">
      <c r="A25" s="45"/>
      <c r="E25" s="57"/>
      <c r="I25" s="57"/>
      <c r="J25" s="55"/>
      <c r="K25" s="58"/>
      <c r="L25" s="57"/>
      <c r="M25" s="58"/>
      <c r="N25" s="46"/>
      <c r="O25" s="6"/>
      <c r="P25" s="6"/>
    </row>
    <row r="26" spans="1:16" ht="15.95">
      <c r="A26" s="47" t="s">
        <v>121</v>
      </c>
      <c r="B26" s="57"/>
      <c r="C26" s="57"/>
      <c r="D26" s="57"/>
      <c r="E26" s="57"/>
      <c r="F26" s="57"/>
      <c r="G26" s="57"/>
      <c r="J26" s="57"/>
      <c r="K26" s="55"/>
      <c r="L26" s="55"/>
      <c r="M26" s="55"/>
      <c r="N26" s="48"/>
      <c r="O26" s="3"/>
      <c r="P26" s="3"/>
    </row>
    <row r="27" spans="1:16" ht="15.95">
      <c r="A27" s="350" t="s">
        <v>782</v>
      </c>
      <c r="B27" s="351"/>
      <c r="C27" s="351"/>
      <c r="D27" s="351"/>
      <c r="E27" s="351"/>
      <c r="F27" s="351"/>
      <c r="G27" s="351"/>
      <c r="H27" s="351"/>
      <c r="I27" s="351"/>
      <c r="J27" s="57"/>
      <c r="K27" s="24" t="s">
        <v>783</v>
      </c>
      <c r="L27">
        <f>COUNTIF(A4:N24, "İTBF")</f>
        <v>11</v>
      </c>
      <c r="M27" s="57" t="s">
        <v>784</v>
      </c>
      <c r="N27" s="49"/>
      <c r="O27" s="3"/>
      <c r="P27" s="3"/>
    </row>
    <row r="28" spans="1:16" ht="15.95">
      <c r="A28" s="350" t="s">
        <v>785</v>
      </c>
      <c r="B28" s="351"/>
      <c r="C28" s="351"/>
      <c r="D28" s="351"/>
      <c r="E28" s="351"/>
      <c r="F28" s="351"/>
      <c r="G28" s="351"/>
      <c r="H28" s="351"/>
      <c r="I28" s="351"/>
      <c r="J28" s="57"/>
      <c r="K28" s="20" t="s">
        <v>11</v>
      </c>
      <c r="L28">
        <v>4</v>
      </c>
      <c r="M28" s="57"/>
      <c r="N28" s="49"/>
      <c r="O28" s="3"/>
      <c r="P28" s="3"/>
    </row>
    <row r="29" spans="1:16" ht="15.95">
      <c r="A29" s="350" t="s">
        <v>124</v>
      </c>
      <c r="B29" s="351"/>
      <c r="C29" s="351"/>
      <c r="D29" s="351"/>
      <c r="E29" s="351"/>
      <c r="F29" s="351"/>
      <c r="G29" s="351"/>
      <c r="H29" s="351"/>
      <c r="I29" s="351"/>
      <c r="K29" s="22" t="s">
        <v>46</v>
      </c>
      <c r="L29">
        <f>COUNTIF(A4:N24, "MMF")</f>
        <v>10</v>
      </c>
      <c r="N29" s="44"/>
    </row>
    <row r="30" spans="1:16" ht="15.95">
      <c r="A30" s="350" t="s">
        <v>125</v>
      </c>
      <c r="B30" s="351"/>
      <c r="C30" s="351"/>
      <c r="D30" s="351"/>
      <c r="E30" s="351"/>
      <c r="F30" s="351"/>
      <c r="G30" s="351"/>
      <c r="H30" s="351"/>
      <c r="I30" s="351"/>
      <c r="K30" s="18" t="s">
        <v>16</v>
      </c>
      <c r="L30">
        <f>COUNTIF(A4:N24, "GSTF")</f>
        <v>8</v>
      </c>
      <c r="N30" s="44"/>
    </row>
    <row r="31" spans="1:16" ht="15.95">
      <c r="A31" s="350" t="s">
        <v>126</v>
      </c>
      <c r="B31" s="351"/>
      <c r="C31" s="351"/>
      <c r="D31" s="351"/>
      <c r="E31" s="351"/>
      <c r="F31" s="351"/>
      <c r="G31" s="351"/>
      <c r="H31" s="351"/>
      <c r="I31" s="351"/>
      <c r="K31" s="27" t="s">
        <v>78</v>
      </c>
      <c r="L31">
        <f>COUNTIF(A4:N24, "MYO")</f>
        <v>4</v>
      </c>
      <c r="N31" s="44"/>
    </row>
    <row r="32" spans="1:16" ht="15.95">
      <c r="A32" s="350" t="s">
        <v>127</v>
      </c>
      <c r="B32" s="351"/>
      <c r="C32" s="351"/>
      <c r="D32" s="351"/>
      <c r="E32" s="351"/>
      <c r="F32" s="351"/>
      <c r="G32" s="351"/>
      <c r="H32" s="351"/>
      <c r="I32" s="351"/>
      <c r="K32" s="23" t="s">
        <v>786</v>
      </c>
      <c r="L32">
        <f>COUNTIF(A4:N24, "Hazırlık Okulu")</f>
        <v>12</v>
      </c>
      <c r="N32" s="44"/>
    </row>
    <row r="33" spans="1:14" ht="15.95">
      <c r="A33" s="367" t="s">
        <v>128</v>
      </c>
      <c r="B33" s="368"/>
      <c r="C33" s="368"/>
      <c r="D33" s="368"/>
      <c r="E33" s="368"/>
      <c r="F33" s="368"/>
      <c r="G33" s="368"/>
      <c r="H33" s="368"/>
      <c r="I33" s="368"/>
      <c r="K33" s="57"/>
      <c r="N33" s="44"/>
    </row>
    <row r="34" spans="1:14" ht="15.95">
      <c r="A34" s="5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1"/>
    </row>
  </sheetData>
  <mergeCells count="11">
    <mergeCell ref="A27:I27"/>
    <mergeCell ref="K2:N2"/>
    <mergeCell ref="F2:I2"/>
    <mergeCell ref="A2:D2"/>
    <mergeCell ref="A1:N1"/>
    <mergeCell ref="A32:I32"/>
    <mergeCell ref="A33:I33"/>
    <mergeCell ref="A28:I28"/>
    <mergeCell ref="A29:I29"/>
    <mergeCell ref="A30:I30"/>
    <mergeCell ref="A31:I31"/>
  </mergeCells>
  <pageMargins left="0.7" right="0.7" top="0.75" bottom="0.75" header="0.3" footer="0.3"/>
  <pageSetup paperSize="9" scale="81" fitToHeight="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0506-E977-468D-B62C-5CC68E60D55F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7D00-EFA3-44CF-B0EA-1C19D9A8999F}">
  <sheetPr>
    <pageSetUpPr fitToPage="1"/>
  </sheetPr>
  <dimension ref="A1:F14"/>
  <sheetViews>
    <sheetView workbookViewId="0">
      <selection activeCell="D6" sqref="D6"/>
    </sheetView>
  </sheetViews>
  <sheetFormatPr defaultColWidth="8.875" defaultRowHeight="15.95"/>
  <cols>
    <col min="1" max="1" width="12.5" customWidth="1"/>
    <col min="2" max="6" width="25.875" customWidth="1"/>
  </cols>
  <sheetData>
    <row r="1" spans="1:6" ht="43.7" customHeight="1">
      <c r="A1" s="359" t="s">
        <v>787</v>
      </c>
      <c r="B1" s="354"/>
      <c r="C1" s="354"/>
      <c r="D1" s="354"/>
      <c r="E1" s="354"/>
      <c r="F1" s="355"/>
    </row>
    <row r="2" spans="1:6" ht="24" customHeight="1">
      <c r="A2" s="64" t="s">
        <v>692</v>
      </c>
      <c r="B2" s="62" t="s">
        <v>137</v>
      </c>
      <c r="C2" s="62" t="s">
        <v>179</v>
      </c>
      <c r="D2" s="62" t="s">
        <v>212</v>
      </c>
      <c r="E2" s="62" t="s">
        <v>244</v>
      </c>
      <c r="F2" s="63" t="s">
        <v>279</v>
      </c>
    </row>
    <row r="3" spans="1:6" ht="24" customHeight="1">
      <c r="A3" s="196" t="s">
        <v>722</v>
      </c>
      <c r="B3" s="66">
        <f>DERS_PLANI!E8</f>
        <v>0</v>
      </c>
      <c r="C3" s="66">
        <f>DERS_PLANI!E20</f>
        <v>0</v>
      </c>
      <c r="D3" s="66">
        <f>DERS_PLANI!E32</f>
        <v>0</v>
      </c>
      <c r="E3" s="66">
        <f>DERS_PLANI!E44</f>
        <v>0</v>
      </c>
      <c r="F3" s="67">
        <f>DERS_PLANI!E56</f>
        <v>0</v>
      </c>
    </row>
    <row r="4" spans="1:6" ht="24" customHeight="1">
      <c r="A4" s="196" t="s">
        <v>723</v>
      </c>
      <c r="B4" s="66">
        <f>DERS_PLANI!E9</f>
        <v>0</v>
      </c>
      <c r="C4" s="66">
        <f>DERS_PLANI!E21</f>
        <v>0</v>
      </c>
      <c r="D4" s="66">
        <f>DERS_PLANI!E33</f>
        <v>0</v>
      </c>
      <c r="E4" s="66">
        <f>DERS_PLANI!E45</f>
        <v>0</v>
      </c>
      <c r="F4" s="67">
        <f>DERS_PLANI!E57</f>
        <v>0</v>
      </c>
    </row>
    <row r="5" spans="1:6" ht="24" customHeight="1">
      <c r="A5" s="196" t="s">
        <v>724</v>
      </c>
      <c r="B5" s="66">
        <f>DERS_PLANI!E10</f>
        <v>0</v>
      </c>
      <c r="C5" s="66">
        <f>DERS_PLANI!E22</f>
        <v>0</v>
      </c>
      <c r="D5" s="66">
        <f>DERS_PLANI!E34</f>
        <v>0</v>
      </c>
      <c r="E5" s="66">
        <f>DERS_PLANI!E46</f>
        <v>0</v>
      </c>
      <c r="F5" s="67">
        <f>DERS_PLANI!E58</f>
        <v>0</v>
      </c>
    </row>
    <row r="6" spans="1:6" ht="24" customHeight="1">
      <c r="A6" s="196" t="s">
        <v>725</v>
      </c>
      <c r="B6" s="66">
        <f>DERS_PLANI!E11</f>
        <v>0</v>
      </c>
      <c r="C6" s="66">
        <f>DERS_PLANI!E23</f>
        <v>0</v>
      </c>
      <c r="D6" s="66">
        <f>DERS_PLANI!E35</f>
        <v>0</v>
      </c>
      <c r="E6" s="66">
        <f>DERS_PLANI!E47</f>
        <v>0</v>
      </c>
      <c r="F6" s="67">
        <f>DERS_PLANI!E59</f>
        <v>0</v>
      </c>
    </row>
    <row r="7" spans="1:6" ht="24" customHeight="1">
      <c r="A7" s="196" t="s">
        <v>726</v>
      </c>
      <c r="B7" s="66">
        <f>DERS_PLANI!E12</f>
        <v>0</v>
      </c>
      <c r="C7" s="66">
        <f>DERS_PLANI!E24</f>
        <v>0</v>
      </c>
      <c r="D7" s="66">
        <f>DERS_PLANI!E36</f>
        <v>0</v>
      </c>
      <c r="E7" s="66">
        <f>DERS_PLANI!E48</f>
        <v>0</v>
      </c>
      <c r="F7" s="67">
        <f>DERS_PLANI!E60</f>
        <v>0</v>
      </c>
    </row>
    <row r="8" spans="1:6" ht="24" customHeight="1">
      <c r="A8" s="196" t="s">
        <v>530</v>
      </c>
      <c r="B8" s="66">
        <f>DERS_PLANI!E13</f>
        <v>0</v>
      </c>
      <c r="C8" s="66">
        <f>DERS_PLANI!E25</f>
        <v>0</v>
      </c>
      <c r="D8" s="66">
        <f>DERS_PLANI!E37</f>
        <v>0</v>
      </c>
      <c r="E8" s="66">
        <f>DERS_PLANI!E49</f>
        <v>0</v>
      </c>
      <c r="F8" s="67">
        <f>DERS_PLANI!E61</f>
        <v>0</v>
      </c>
    </row>
    <row r="9" spans="1:6" ht="24" customHeight="1">
      <c r="A9" s="196" t="s">
        <v>727</v>
      </c>
      <c r="B9" s="66">
        <f>DERS_PLANI!E14</f>
        <v>0</v>
      </c>
      <c r="C9" s="66">
        <f>DERS_PLANI!E26</f>
        <v>0</v>
      </c>
      <c r="D9" s="66">
        <f>DERS_PLANI!E38</f>
        <v>0</v>
      </c>
      <c r="E9" s="66">
        <f>DERS_PLANI!E50</f>
        <v>0</v>
      </c>
      <c r="F9" s="67">
        <f>DERS_PLANI!E62</f>
        <v>0</v>
      </c>
    </row>
    <row r="10" spans="1:6" ht="24" customHeight="1">
      <c r="A10" s="197" t="s">
        <v>728</v>
      </c>
      <c r="B10" s="66">
        <f>DERS_PLANI!E15</f>
        <v>0</v>
      </c>
      <c r="C10" s="66">
        <f>DERS_PLANI!E27</f>
        <v>0</v>
      </c>
      <c r="D10" s="66">
        <f>DERS_PLANI!E39</f>
        <v>0</v>
      </c>
      <c r="E10" s="66">
        <f>DERS_PLANI!E51</f>
        <v>0</v>
      </c>
      <c r="F10" s="67">
        <f>DERS_PLANI!E63</f>
        <v>0</v>
      </c>
    </row>
    <row r="11" spans="1:6" ht="24" customHeight="1">
      <c r="A11" s="198" t="s">
        <v>544</v>
      </c>
      <c r="B11" s="66">
        <f>DERS_PLANI!E16</f>
        <v>0</v>
      </c>
      <c r="C11" s="66">
        <f>DERS_PLANI!E28</f>
        <v>0</v>
      </c>
      <c r="D11" s="66">
        <f>DERS_PLANI!E40</f>
        <v>0</v>
      </c>
      <c r="E11" s="66">
        <f>DERS_PLANI!E52</f>
        <v>0</v>
      </c>
      <c r="F11" s="67">
        <f>DERS_PLANI!E64</f>
        <v>0</v>
      </c>
    </row>
    <row r="12" spans="1:6" ht="24" customHeight="1">
      <c r="A12" s="197" t="s">
        <v>705</v>
      </c>
      <c r="B12" s="66">
        <f>DERS_PLANI!E17</f>
        <v>0</v>
      </c>
      <c r="C12" s="66">
        <f>DERS_PLANI!E29</f>
        <v>0</v>
      </c>
      <c r="D12" s="66">
        <f>DERS_PLANI!E41</f>
        <v>0</v>
      </c>
      <c r="E12" s="66">
        <f>DERS_PLANI!E53</f>
        <v>0</v>
      </c>
      <c r="F12" s="67">
        <f>DERS_PLANI!E65</f>
        <v>0</v>
      </c>
    </row>
    <row r="13" spans="1:6" ht="24" customHeight="1">
      <c r="A13" s="197" t="s">
        <v>703</v>
      </c>
      <c r="B13" s="66">
        <f>DERS_PLANI!E18</f>
        <v>0</v>
      </c>
      <c r="C13" s="66">
        <f>DERS_PLANI!E30</f>
        <v>0</v>
      </c>
      <c r="D13" s="66">
        <f>DERS_PLANI!E42</f>
        <v>0</v>
      </c>
      <c r="E13" s="66">
        <f>DERS_PLANI!E54</f>
        <v>0</v>
      </c>
      <c r="F13" s="67">
        <f>DERS_PLANI!E66</f>
        <v>0</v>
      </c>
    </row>
    <row r="14" spans="1:6" ht="24" customHeight="1">
      <c r="A14" s="197" t="s">
        <v>704</v>
      </c>
      <c r="B14" s="66">
        <f>DERS_PLANI!E19</f>
        <v>0</v>
      </c>
      <c r="C14" s="66">
        <f>DERS_PLANI!E31</f>
        <v>0</v>
      </c>
      <c r="D14" s="66">
        <f>DERS_PLANI!E43</f>
        <v>0</v>
      </c>
      <c r="E14" s="66">
        <f>DERS_PLANI!E55</f>
        <v>0</v>
      </c>
      <c r="F14" s="67">
        <f>DERS_PLANI!E67</f>
        <v>0</v>
      </c>
    </row>
  </sheetData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202cfb-3660-4480-9c8e-66da5d4fb573" xsi:nil="true"/>
    <lcf76f155ced4ddcb4097134ff3c332f xmlns="13b45455-c283-4ea5-93b0-7d94daa7eb58">
      <Terms xmlns="http://schemas.microsoft.com/office/infopath/2007/PartnerControls"/>
    </lcf76f155ced4ddcb4097134ff3c332f>
    <SharedWithUsers xmlns="c1202cfb-3660-4480-9c8e-66da5d4fb573">
      <UserInfo>
        <DisplayName>Yavuz Selim Özdemir</DisplayName>
        <AccountId>92</AccountId>
        <AccountType/>
      </UserInfo>
      <UserInfo>
        <DisplayName>Yeliz Dede Özdemir</DisplayName>
        <AccountId>97</AccountId>
        <AccountType/>
      </UserInfo>
      <UserInfo>
        <DisplayName>Mustafa Çağrı Aykaç</DisplayName>
        <AccountId>81</AccountId>
        <AccountType/>
      </UserInfo>
      <UserInfo>
        <DisplayName>Başar Baysal</DisplayName>
        <AccountId>27</AccountId>
        <AccountType/>
      </UserInfo>
      <UserInfo>
        <DisplayName>Ercan Arıcan</DisplayName>
        <AccountId>45</AccountId>
        <AccountType/>
      </UserInfo>
      <UserInfo>
        <DisplayName>Didem Dutlu</DisplayName>
        <AccountId>109</AccountId>
        <AccountType/>
      </UserInfo>
      <UserInfo>
        <DisplayName>Yağmur Akcan</DisplayName>
        <AccountId>95</AccountId>
        <AccountType/>
      </UserInfo>
      <UserInfo>
        <DisplayName>Ayşe Nur Liman</DisplayName>
        <AccountId>86</AccountId>
        <AccountType/>
      </UserInfo>
      <UserInfo>
        <DisplayName>Derya Nurcan</DisplayName>
        <AccountId>114</AccountId>
        <AccountType/>
      </UserInfo>
      <UserInfo>
        <DisplayName>Murat Özdemir</DisplayName>
        <AccountId>48</AccountId>
        <AccountType/>
      </UserInfo>
      <UserInfo>
        <DisplayName>Ayşe Gülce Karakaya</DisplayName>
        <AccountId>36</AccountId>
        <AccountType/>
      </UserInfo>
      <UserInfo>
        <DisplayName>Aziz Balcı</DisplayName>
        <AccountId>67</AccountId>
        <AccountType/>
      </UserInfo>
      <UserInfo>
        <DisplayName>Gonca Erol</DisplayName>
        <AccountId>124</AccountId>
        <AccountType/>
      </UserInfo>
      <UserInfo>
        <DisplayName>Hatice Çevik</DisplayName>
        <AccountId>129</AccountId>
        <AccountType/>
      </UserInfo>
      <UserInfo>
        <DisplayName>Arzu Büşra Kumbaroğlu</DisplayName>
        <AccountId>79</AccountId>
        <AccountType/>
      </UserInfo>
      <UserInfo>
        <DisplayName>Doç.Dr. Şebnem Düzgün</DisplayName>
        <AccountId>62</AccountId>
        <AccountType/>
      </UserInfo>
      <UserInfo>
        <DisplayName>Bektaşcan Özkara</DisplayName>
        <AccountId>169</AccountId>
        <AccountType/>
      </UserInfo>
      <UserInfo>
        <DisplayName>Handan Akkaş</DisplayName>
        <AccountId>41</AccountId>
        <AccountType/>
      </UserInfo>
      <UserInfo>
        <DisplayName>Pelin Karaca Kalkan</DisplayName>
        <AccountId>112</AccountId>
        <AccountType/>
      </UserInfo>
      <UserInfo>
        <DisplayName>Ece Kumkale Açıkgöz</DisplayName>
        <AccountId>83</AccountId>
        <AccountType/>
      </UserInfo>
      <UserInfo>
        <DisplayName>Serra Sezgin</DisplayName>
        <AccountId>26</AccountId>
        <AccountType/>
      </UserInfo>
      <UserInfo>
        <DisplayName>Yelda Yenel</DisplayName>
        <AccountId>10</AccountId>
        <AccountType/>
      </UserInfo>
      <UserInfo>
        <DisplayName>Aysu Kes Erkul</DisplayName>
        <AccountId>203</AccountId>
        <AccountType/>
      </UserInfo>
      <UserInfo>
        <DisplayName>İlayda Gozel</DisplayName>
        <AccountId>201</AccountId>
        <AccountType/>
      </UserInfo>
      <UserInfo>
        <DisplayName>Bahar Kardaş</DisplayName>
        <AccountId>202</AccountId>
        <AccountType/>
      </UserInfo>
      <UserInfo>
        <DisplayName>Mertcan Okul</DisplayName>
        <AccountId>205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9DCE01C70391F4A913590740BDF78CF" ma:contentTypeVersion="15" ma:contentTypeDescription="Yeni belge oluşturun." ma:contentTypeScope="" ma:versionID="2e09a503c1bb64bc4b8cec5f64a51024">
  <xsd:schema xmlns:xsd="http://www.w3.org/2001/XMLSchema" xmlns:xs="http://www.w3.org/2001/XMLSchema" xmlns:p="http://schemas.microsoft.com/office/2006/metadata/properties" xmlns:ns2="13b45455-c283-4ea5-93b0-7d94daa7eb58" xmlns:ns3="c1202cfb-3660-4480-9c8e-66da5d4fb573" targetNamespace="http://schemas.microsoft.com/office/2006/metadata/properties" ma:root="true" ma:fieldsID="baaecf18e7cece0c91430848ab097dae" ns2:_="" ns3:_="">
    <xsd:import namespace="13b45455-c283-4ea5-93b0-7d94daa7eb58"/>
    <xsd:import namespace="c1202cfb-3660-4480-9c8e-66da5d4fb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45455-c283-4ea5-93b0-7d94daa7e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69adc9fa-319b-4521-a2f9-185322eb82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02cfb-3660-4480-9c8e-66da5d4fb5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04cdf67-15aa-43de-977e-4f9919ec819b}" ma:internalName="TaxCatchAll" ma:showField="CatchAllData" ma:web="c1202cfb-3660-4480-9c8e-66da5d4fb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2F4478-6DAC-4B77-AF5C-C50B31BF1ABA}"/>
</file>

<file path=customXml/itemProps2.xml><?xml version="1.0" encoding="utf-8"?>
<ds:datastoreItem xmlns:ds="http://schemas.openxmlformats.org/officeDocument/2006/customXml" ds:itemID="{3556EFE0-651F-4D2E-8304-C11E1D71120E}"/>
</file>

<file path=customXml/itemProps3.xml><?xml version="1.0" encoding="utf-8"?>
<ds:datastoreItem xmlns:ds="http://schemas.openxmlformats.org/officeDocument/2006/customXml" ds:itemID="{644B71CD-45FF-47A6-866F-B5AF57975A39}"/>
</file>

<file path=docMetadata/LabelInfo.xml><?xml version="1.0" encoding="utf-8"?>
<clbl:labelList xmlns:clbl="http://schemas.microsoft.com/office/2020/mipLabelMetadata">
  <clbl:label id="{d95bac3e-a6c2-4bdd-9bd1-ffb95f46755c}" enabled="0" method="" siteId="{d95bac3e-a6c2-4bdd-9bd1-ffb95f4675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ABUN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Maltepe Derslik Planı</dc:title>
  <dc:subject>2022-2023 Bahar</dc:subject>
  <dc:creator>Dr. Yavuz Selim Özdemir</dc:creator>
  <cp:keywords/>
  <dc:description/>
  <cp:lastModifiedBy/>
  <cp:revision/>
  <dcterms:created xsi:type="dcterms:W3CDTF">2022-12-14T07:34:01Z</dcterms:created>
  <dcterms:modified xsi:type="dcterms:W3CDTF">2026-08-21T06:10:17Z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0x010100B9DCE01C70391F4A913590740BDF78CF</vt:lpwstr>
  </property>
  <property fmtid="{D5CDD505-2E9C-101B-9397-08002B2CF9AE}" pid="3" name="MediaServiceImageTags">
    <vt:lpwstr/>
  </property>
</Properties>
</file>