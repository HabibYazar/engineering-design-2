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235294fc6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abanci_Ogrenci_Detay" sheetId="1" r:id="Rcda42bf2e85240db"/>
    <x:sheet xmlns:r="http://schemas.openxmlformats.org/officeDocument/2006/relationships" name="Fakulte_Ozet" sheetId="2" r:id="R33be05fe45d940da"/>
    <x:sheet xmlns:r="http://schemas.openxmlformats.org/officeDocument/2006/relationships" name="Metadata" sheetId="3" r:id="R58f0761f2517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2" fillId="3" borderId="0" xfId="0" applyNumberFormat="1" applyFont="1" applyFill="1" applyBorder="1"/>
    <x:xf numFmtId="201" fontId="0" fillId="0" borderId="1" xfId="0" applyNumberFormat="1" applyFont="1" applyFill="1" applyBorder="1"/>
    <x:xf numFmtId="201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ebebb823448d0" /><Relationship Type="http://schemas.openxmlformats.org/officeDocument/2006/relationships/theme" Target="/xl/theme/theme1.xml" Id="R4c6e1fdbc5144904" /><Relationship Type="http://schemas.openxmlformats.org/officeDocument/2006/relationships/sharedStrings" Target="/xl/sharedStrings.xml" Id="R2928bc18a2974790" /><Relationship Type="http://schemas.openxmlformats.org/officeDocument/2006/relationships/worksheet" Target="/xl/worksheets/sheet1.xml" Id="Rcda42bf2e85240db" /><Relationship Type="http://schemas.openxmlformats.org/officeDocument/2006/relationships/worksheet" Target="/xl/worksheets/sheet2.xml" Id="R33be05fe45d940da" /><Relationship Type="http://schemas.openxmlformats.org/officeDocument/2006/relationships/worksheet" Target="/xl/worksheets/sheet3.xml" Id="R58f0761f251746b0" /></Relationships>
</file>

<file path=xl/tables/table1.xml><?xml version="1.0" encoding="utf-8"?>
<x:table xmlns:x="http://schemas.openxmlformats.org/spreadsheetml/2006/main" id="1" name="YabanciOgrenciDetay" displayName="YabanciOgrenciDetay" ref="A1:E16" headerRowCount="1" totalsRowCount="0" totalsRowShown="0">
  <x:tableColumns count="5">
    <x:tableColumn id="1" name="Akademik Yıl"/>
    <x:tableColumn id="2" name="Fakülte / Birim"/>
    <x:tableColumn id="3" name="Program"/>
    <x:tableColumn id="4" name="Eğitim Dili"/>
    <x:tableColumn id="5" name="Yabancı Öğrenci Sayı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26e0d7d924473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6" hidden="0" customWidth="1"/>
    <x:col min="4" max="4" width="16" hidden="0" customWidth="1"/>
    <x:col min="5" max="5" width="22" hidden="0" customWidth="1"/>
  </x:cols>
  <x:sheetData>
    <x:row r="1">
      <x:c r="A1" s="10" t="str">
        <x:v>Akademik Yıl</x:v>
      </x:c>
      <x:c r="B1" s="10" t="str">
        <x:v>Fakülte / Birim</x:v>
      </x:c>
      <x:c r="C1" s="10" t="str">
        <x:v>Program</x:v>
      </x:c>
      <x:c r="D1" s="10" t="str">
        <x:v>Eğitim Dili</x:v>
      </x:c>
      <x:c r="E1" s="10" t="str">
        <x:v>Yabancı Öğrenci Sayısı</x:v>
      </x:c>
    </x:row>
    <x:row r="2">
      <x:c r="A2" s="11" t="str">
        <x:v>2025-2026</x:v>
      </x:c>
      <x:c r="B2" s="11" t="str">
        <x:v>Mühendislik ve Mimarlık Fakültesi</x:v>
      </x:c>
      <x:c r="C2" s="11" t="str">
        <x:v>Yazılım Mühendisliği (İngilizce)</x:v>
      </x:c>
      <x:c r="D2" s="11" t="str">
        <x:v>İngilizce</x:v>
      </x:c>
      <x:c r="E2" s="14" t="n">
        <x:v>38</x:v>
      </x:c>
    </x:row>
    <x:row r="3">
      <x:c r="A3" s="11" t="str">
        <x:v>2025-2026</x:v>
      </x:c>
      <x:c r="B3" s="11" t="str">
        <x:v>Mühendislik ve Mimarlık Fakültesi</x:v>
      </x:c>
      <x:c r="C3" s="11" t="str">
        <x:v>Bilgisayar Mühendisliği (İngilizce)</x:v>
      </x:c>
      <x:c r="D3" s="11" t="str">
        <x:v>İngilizce</x:v>
      </x:c>
      <x:c r="E3" s="14" t="n">
        <x:v>32</x:v>
      </x:c>
    </x:row>
    <x:row r="4">
      <x:c r="A4" s="11" t="str">
        <x:v>2025-2026</x:v>
      </x:c>
      <x:c r="B4" s="11" t="str">
        <x:v>Mühendislik ve Mimarlık Fakültesi</x:v>
      </x:c>
      <x:c r="C4" s="11" t="str">
        <x:v>Endüstri Mühendisliği (İngilizce)</x:v>
      </x:c>
      <x:c r="D4" s="11" t="str">
        <x:v>İngilizce</x:v>
      </x:c>
      <x:c r="E4" s="14" t="n">
        <x:v>16</x:v>
      </x:c>
    </x:row>
    <x:row r="5">
      <x:c r="A5" s="11" t="str">
        <x:v>2025-2026</x:v>
      </x:c>
      <x:c r="B5" s="11" t="str">
        <x:v>Mühendislik ve Mimarlık Fakültesi</x:v>
      </x:c>
      <x:c r="C5" s="11" t="str">
        <x:v>İç Mimarlık ve Çevre Tasarımı (İngilizce)</x:v>
      </x:c>
      <x:c r="D5" s="11" t="str">
        <x:v>İngilizce</x:v>
      </x:c>
      <x:c r="E5" s="14" t="n">
        <x:v>12</x:v>
      </x:c>
    </x:row>
    <x:row r="6">
      <x:c r="A6" s="11" t="str">
        <x:v>2025-2026</x:v>
      </x:c>
      <x:c r="B6" s="11" t="str">
        <x:v>İnsan ve Toplum Bilimleri Fakültesi</x:v>
      </x:c>
      <x:c r="C6" s="11" t="str">
        <x:v>Yönetim Bilişim Sistemleri (İngilizce)</x:v>
      </x:c>
      <x:c r="D6" s="11" t="str">
        <x:v>İngilizce</x:v>
      </x:c>
      <x:c r="E6" s="14" t="n">
        <x:v>34</x:v>
      </x:c>
    </x:row>
    <x:row r="7">
      <x:c r="A7" s="11" t="str">
        <x:v>2025-2026</x:v>
      </x:c>
      <x:c r="B7" s="11" t="str">
        <x:v>İnsan ve Toplum Bilimleri Fakültesi</x:v>
      </x:c>
      <x:c r="C7" s="11" t="str">
        <x:v>Psikoloji (İngilizce)</x:v>
      </x:c>
      <x:c r="D7" s="11" t="str">
        <x:v>İngilizce</x:v>
      </x:c>
      <x:c r="E7" s="14" t="n">
        <x:v>24</x:v>
      </x:c>
    </x:row>
    <x:row r="8">
      <x:c r="A8" s="11" t="str">
        <x:v>2025-2026</x:v>
      </x:c>
      <x:c r="B8" s="11" t="str">
        <x:v>İnsan ve Toplum Bilimleri Fakültesi</x:v>
      </x:c>
      <x:c r="C8" s="11" t="str">
        <x:v>İşletme (İngilizce)</x:v>
      </x:c>
      <x:c r="D8" s="11" t="str">
        <x:v>İngilizce</x:v>
      </x:c>
      <x:c r="E8" s="14" t="n">
        <x:v>11</x:v>
      </x:c>
    </x:row>
    <x:row r="9">
      <x:c r="A9" s="11" t="str">
        <x:v>2025-2026</x:v>
      </x:c>
      <x:c r="B9" s="11" t="str">
        <x:v>İnsan ve Toplum Bilimleri Fakültesi</x:v>
      </x:c>
      <x:c r="C9" s="11" t="str">
        <x:v>Siyaset Bilimi ve Kamu Yönetimi (Türkçe)</x:v>
      </x:c>
      <x:c r="D9" s="11" t="str">
        <x:v>Türkçe</x:v>
      </x:c>
      <x:c r="E9" s="14" t="n">
        <x:v>5</x:v>
      </x:c>
    </x:row>
    <x:row r="10">
      <x:c r="A10" s="11" t="str">
        <x:v>2025-2026</x:v>
      </x:c>
      <x:c r="B10" s="11" t="str">
        <x:v>İnsan ve Toplum Bilimleri Fakültesi</x:v>
      </x:c>
      <x:c r="C10" s="11" t="str">
        <x:v>İngilizce Mütercim ve Tercümanlık</x:v>
      </x:c>
      <x:c r="D10" s="11"/>
      <x:c r="E10" s="14" t="n">
        <x:v>5</x:v>
      </x:c>
    </x:row>
    <x:row r="11">
      <x:c r="A11" s="11" t="str">
        <x:v>2025-2026</x:v>
      </x:c>
      <x:c r="B11" s="11" t="str">
        <x:v>Güzel Sanatlar ve Tasarım Fakültesi</x:v>
      </x:c>
      <x:c r="C11" s="11" t="str">
        <x:v>Dijital Oyun Tasarımı (Türkçe)</x:v>
      </x:c>
      <x:c r="D11" s="11" t="str">
        <x:v>Türkçe</x:v>
      </x:c>
      <x:c r="E11" s="14" t="n">
        <x:v>14</x:v>
      </x:c>
    </x:row>
    <x:row r="12">
      <x:c r="A12" s="11" t="str">
        <x:v>2025-2026</x:v>
      </x:c>
      <x:c r="B12" s="11" t="str">
        <x:v>Güzel Sanatlar ve Tasarım Fakültesi</x:v>
      </x:c>
      <x:c r="C12" s="11" t="str">
        <x:v>Film Tasarımı ve Yönetmenliği (Türkçe)</x:v>
      </x:c>
      <x:c r="D12" s="11" t="str">
        <x:v>Türkçe</x:v>
      </x:c>
      <x:c r="E12" s="14" t="n">
        <x:v>10</x:v>
      </x:c>
    </x:row>
    <x:row r="13">
      <x:c r="A13" s="11" t="str">
        <x:v>2025-2026</x:v>
      </x:c>
      <x:c r="B13" s="11" t="str">
        <x:v>Güzel Sanatlar ve Tasarım Fakültesi</x:v>
      </x:c>
      <x:c r="C13" s="11" t="str">
        <x:v>Görsel İletişim Tasarımı (Türkçe)</x:v>
      </x:c>
      <x:c r="D13" s="11" t="str">
        <x:v>Türkçe</x:v>
      </x:c>
      <x:c r="E13" s="14" t="n">
        <x:v>7</x:v>
      </x:c>
    </x:row>
    <x:row r="14">
      <x:c r="A14" s="11" t="str">
        <x:v>2025-2026</x:v>
      </x:c>
      <x:c r="B14" s="11" t="str">
        <x:v>Meslek Yüksekokulu / Önlisans</x:v>
      </x:c>
      <x:c r="C14" s="11" t="str">
        <x:v>Bilgisayar Programcılığı</x:v>
      </x:c>
      <x:c r="D14" s="11"/>
      <x:c r="E14" s="14" t="n">
        <x:v>12</x:v>
      </x:c>
    </x:row>
    <x:row r="15">
      <x:c r="A15" s="11" t="str">
        <x:v>2025-2026</x:v>
      </x:c>
      <x:c r="B15" s="11" t="str">
        <x:v>Meslek Yüksekokulu / Önlisans</x:v>
      </x:c>
      <x:c r="C15" s="11" t="str">
        <x:v>Siber Güvenlik Analistliği ve Operatörlüğü</x:v>
      </x:c>
      <x:c r="D15" s="11"/>
      <x:c r="E15" s="14" t="n">
        <x:v>8</x:v>
      </x:c>
    </x:row>
    <x:row r="16">
      <x:c r="A16" s="11" t="str">
        <x:v>2025-2026</x:v>
      </x:c>
      <x:c r="B16" s="11" t="str">
        <x:v>Meslek Yüksekokulu / Önlisans</x:v>
      </x:c>
      <x:c r="C16" s="11" t="str">
        <x:v>İnsansız Hava Aracı Teknolojisi ve Operatörlüğü</x:v>
      </x:c>
      <x:c r="D16" s="11"/>
      <x:c r="E16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026e0d7d92447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</x:cols>
  <x:sheetData>
    <x:row r="1">
      <x:c r="A1" s="4" t="str">
        <x:v>Fakülte / Birim</x:v>
      </x:c>
      <x:c r="B1" s="4" t="str">
        <x:v>Yabancı Öğrenci</x:v>
      </x:c>
      <x:c r="C1" s="4" t="str">
        <x:v>Toplam İçindeki Pay</x:v>
      </x:c>
    </x:row>
    <x:row r="2">
      <x:c r="A2" t="str">
        <x:v>Mühendislik ve Mimarlık Fakültesi</x:v>
      </x:c>
      <x:c r="B2" s="24" t="n">
        <x:f>SUMIF(Yabanci_Ogrenci_Detay!$B$2:$B$16,A2,Yabanci_Ogrenci_Detay!$E$2:$E$16)</x:f>
        <x:v>98</x:v>
      </x:c>
      <x:c r="C2" s="20" t="n">
        <x:f>B2/$B$7</x:f>
        <x:v>0.4206008583690987</x:v>
      </x:c>
    </x:row>
    <x:row r="3">
      <x:c r="A3" t="str">
        <x:v>İnsan ve Toplum Bilimleri Fakültesi</x:v>
      </x:c>
      <x:c r="B3" s="24" t="n">
        <x:f>SUMIF(Yabanci_Ogrenci_Detay!$B$2:$B$16,A3,Yabanci_Ogrenci_Detay!$E$2:$E$16)</x:f>
        <x:v>79</x:v>
      </x:c>
      <x:c r="C3" s="20" t="n">
        <x:f>B3/$B$7</x:f>
        <x:v>0.33905579399141633</x:v>
      </x:c>
    </x:row>
    <x:row r="4">
      <x:c r="A4" t="str">
        <x:v>Güzel Sanatlar ve Tasarım Fakültesi</x:v>
      </x:c>
      <x:c r="B4" s="24" t="n">
        <x:f>SUMIF(Yabanci_Ogrenci_Detay!$B$2:$B$16,A4,Yabanci_Ogrenci_Detay!$E$2:$E$16)</x:f>
        <x:v>31</x:v>
      </x:c>
      <x:c r="C4" s="20" t="n">
        <x:f>B4/$B$7</x:f>
        <x:v>0.13304721030042918</x:v>
      </x:c>
    </x:row>
    <x:row r="5">
      <x:c r="A5" t="str">
        <x:v>Meslek Yüksekokulu / Önlisans</x:v>
      </x:c>
      <x:c r="B5" s="24" t="n">
        <x:f>SUMIF(Yabanci_Ogrenci_Detay!$B$2:$B$16,A5,Yabanci_Ogrenci_Detay!$E$2:$E$16)</x:f>
        <x:v>25</x:v>
      </x:c>
      <x:c r="C5" s="20" t="n">
        <x:f>B5/$B$7</x:f>
        <x:v>0.1072961373390558</x:v>
      </x:c>
    </x:row>
    <x:row r="6">
      <x:c r="B6" s="24"/>
      <x:c r="C6" s="20"/>
    </x:row>
    <x:row r="7">
      <x:c r="A7" s="17" t="str">
        <x:v>ÜNİVERSİTE TOPLAMI</x:v>
      </x:c>
      <x:c r="B7" s="25" t="n">
        <x:f>SUM(B2:B5)</x:f>
        <x:v>233</x:v>
      </x:c>
      <x:c r="C7" s="21" t="n">
        <x:f>SUM(C2:C5)</x:f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8" t="str">
        <x:v>Alan</x:v>
      </x:c>
      <x:c r="B1" s="28" t="str">
        <x:v>Değer</x:v>
      </x:c>
    </x:row>
    <x:row r="2">
      <x:c r="A2" s="11" t="str">
        <x:v>Üniversite</x:v>
      </x:c>
      <x:c r="B2" s="11" t="str">
        <x:v>Ankara Bilim Üniversitesi</x:v>
      </x:c>
    </x:row>
    <x:row r="3">
      <x:c r="A3" s="11" t="str">
        <x:v>Akademik Yıl</x:v>
      </x:c>
      <x:c r="B3" s="11" t="str">
        <x:v>2025-2026</x:v>
      </x:c>
    </x:row>
    <x:row r="4">
      <x:c r="A4" s="11" t="str">
        <x:v>Veri Konusu</x:v>
      </x:c>
      <x:c r="B4" s="11" t="str">
        <x:v>Yabancı öğrenci sayıları</x:v>
      </x:c>
    </x:row>
    <x:row r="5">
      <x:c r="A5" s="11" t="str">
        <x:v>Toplam Program Satırı</x:v>
      </x:c>
      <x:c r="B5" s="11" t="n">
        <x:v>15</x:v>
      </x:c>
    </x:row>
    <x:row r="6">
      <x:c r="A6" s="11" t="str">
        <x:v>Kaynak</x:v>
      </x:c>
      <x:c r="B6" s="11" t="str">
        <x:v>Kullanıcı tarafından sağlanan kurum içi veri</x:v>
      </x:c>
    </x:row>
    <x:row r="7">
      <x:c r="A7" s="11" t="str">
        <x:v>Not</x:v>
      </x:c>
      <x:c r="B7" s="11" t="str">
        <x:v>Eğitim dili açıkça belirtilmeyen programlarda alan boş bırakılmıştır; tahmin yapılmamıştır.</x:v>
      </x:c>
    </x:row>
  </x:sheetData>
  <x:pageMargins left="0.7" right="0.7" top="0.75" bottom="0.75" header="0.3" footer="0.3"/>
</x:worksheet>
</file>